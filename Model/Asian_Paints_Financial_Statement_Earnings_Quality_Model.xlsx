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ashr\Desktop\Study\Projects\Investment &amp; Research Analyst\Asian Paints\"/>
    </mc:Choice>
  </mc:AlternateContent>
  <xr:revisionPtr revIDLastSave="0" documentId="13_ncr:1_{D6C7FB93-F2C1-41EA-BDAF-74E4A9269E3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shboard &amp; Scorecard" sheetId="1" r:id="rId1"/>
    <sheet name="01_Financial_Statements" sheetId="2" r:id="rId2"/>
    <sheet name="02_Growth_Profitability" sheetId="3" r:id="rId3"/>
    <sheet name="03_Earnings_Quality" sheetId="4" r:id="rId4"/>
    <sheet name="04_WC_Forensics" sheetId="5" r:id="rId5"/>
    <sheet name="05_Diagnostics" sheetId="6" r:id="rId6"/>
    <sheet name="06_Capital_Efficiency" sheetId="7" r:id="rId7"/>
    <sheet name="07_Research_Report_Memo" sheetId="8" r:id="rId8"/>
  </sheets>
  <calcPr calcId="191029"/>
</workbook>
</file>

<file path=xl/calcChain.xml><?xml version="1.0" encoding="utf-8"?>
<calcChain xmlns="http://schemas.openxmlformats.org/spreadsheetml/2006/main">
  <c r="K15" i="6" l="1"/>
  <c r="J15" i="6"/>
  <c r="I15" i="6"/>
  <c r="H15" i="6"/>
  <c r="G15" i="6"/>
  <c r="F15" i="6"/>
  <c r="E15" i="6"/>
  <c r="D15" i="6"/>
  <c r="C15" i="6"/>
  <c r="B15" i="6"/>
  <c r="K10" i="6"/>
  <c r="J10" i="6"/>
  <c r="I10" i="6"/>
  <c r="H10" i="6"/>
  <c r="G10" i="6"/>
  <c r="F10" i="6"/>
  <c r="E10" i="6"/>
  <c r="D10" i="6"/>
  <c r="C10" i="6"/>
  <c r="B10" i="6"/>
  <c r="K8" i="6"/>
  <c r="J8" i="6"/>
  <c r="I8" i="6"/>
  <c r="H8" i="6"/>
  <c r="G8" i="6"/>
  <c r="F8" i="6"/>
  <c r="E8" i="6"/>
  <c r="D8" i="6"/>
  <c r="C8" i="6"/>
  <c r="B8" i="6"/>
  <c r="K7" i="6"/>
  <c r="J7" i="6"/>
  <c r="I7" i="6"/>
  <c r="H7" i="6"/>
  <c r="G7" i="6"/>
  <c r="F7" i="6"/>
  <c r="E7" i="6"/>
  <c r="D7" i="6"/>
  <c r="C7" i="6"/>
  <c r="B7" i="6"/>
  <c r="K6" i="6"/>
  <c r="J6" i="6"/>
  <c r="I6" i="6"/>
  <c r="H6" i="6"/>
  <c r="G6" i="6"/>
  <c r="F6" i="6"/>
  <c r="E6" i="6"/>
  <c r="D6" i="6"/>
  <c r="C6" i="6"/>
  <c r="B6" i="6"/>
  <c r="E18" i="5"/>
  <c r="K16" i="5"/>
  <c r="J16" i="5"/>
  <c r="I16" i="5"/>
  <c r="H16" i="5"/>
  <c r="G16" i="5"/>
  <c r="F16" i="5"/>
  <c r="E16" i="5"/>
  <c r="D16" i="5"/>
  <c r="C16" i="5"/>
  <c r="B16" i="5"/>
  <c r="K15" i="5"/>
  <c r="J15" i="5"/>
  <c r="I15" i="5"/>
  <c r="H15" i="5"/>
  <c r="G15" i="5"/>
  <c r="F15" i="5"/>
  <c r="E15" i="5"/>
  <c r="D15" i="5"/>
  <c r="C15" i="5"/>
  <c r="B15" i="5"/>
  <c r="K12" i="5"/>
  <c r="J12" i="5"/>
  <c r="I12" i="5"/>
  <c r="H12" i="5"/>
  <c r="G12" i="5"/>
  <c r="F12" i="5"/>
  <c r="E12" i="5"/>
  <c r="D12" i="5"/>
  <c r="C12" i="5"/>
  <c r="K11" i="5"/>
  <c r="J11" i="5"/>
  <c r="I11" i="5"/>
  <c r="H11" i="5"/>
  <c r="G11" i="5"/>
  <c r="F11" i="5"/>
  <c r="E11" i="5"/>
  <c r="D11" i="5"/>
  <c r="C11" i="5"/>
  <c r="B11" i="5"/>
  <c r="K10" i="5"/>
  <c r="J10" i="5"/>
  <c r="I10" i="5"/>
  <c r="H10" i="5"/>
  <c r="G10" i="5"/>
  <c r="F10" i="5"/>
  <c r="E10" i="5"/>
  <c r="D10" i="5"/>
  <c r="C10" i="5"/>
  <c r="B10" i="5"/>
  <c r="K7" i="5"/>
  <c r="J7" i="5"/>
  <c r="I7" i="5"/>
  <c r="H7" i="5"/>
  <c r="G7" i="5"/>
  <c r="F7" i="5"/>
  <c r="E7" i="5"/>
  <c r="D7" i="5"/>
  <c r="C7" i="5"/>
  <c r="K6" i="5"/>
  <c r="J6" i="5"/>
  <c r="I6" i="5"/>
  <c r="H6" i="5"/>
  <c r="G6" i="5"/>
  <c r="F6" i="5"/>
  <c r="E6" i="5"/>
  <c r="D6" i="5"/>
  <c r="C6" i="5"/>
  <c r="B6" i="5"/>
  <c r="K5" i="5"/>
  <c r="K18" i="5" s="1"/>
  <c r="J5" i="5"/>
  <c r="J18" i="5" s="1"/>
  <c r="I5" i="5"/>
  <c r="I18" i="5" s="1"/>
  <c r="H5" i="5"/>
  <c r="H18" i="5" s="1"/>
  <c r="G5" i="5"/>
  <c r="G18" i="5" s="1"/>
  <c r="F5" i="5"/>
  <c r="F18" i="5" s="1"/>
  <c r="E5" i="5"/>
  <c r="D5" i="5"/>
  <c r="D18" i="5" s="1"/>
  <c r="C5" i="5"/>
  <c r="C18" i="5" s="1"/>
  <c r="B5" i="5"/>
  <c r="B18" i="5" s="1"/>
  <c r="M30" i="4"/>
  <c r="L30" i="4"/>
  <c r="M29" i="4"/>
  <c r="K29" i="4"/>
  <c r="J29" i="4"/>
  <c r="I29" i="4"/>
  <c r="H29" i="4"/>
  <c r="G29" i="4"/>
  <c r="F29" i="4"/>
  <c r="L29" i="4" s="1"/>
  <c r="E29" i="4"/>
  <c r="D29" i="4"/>
  <c r="C29" i="4"/>
  <c r="B29" i="4"/>
  <c r="K28" i="4"/>
  <c r="J28" i="4"/>
  <c r="I28" i="4"/>
  <c r="H28" i="4"/>
  <c r="G28" i="4"/>
  <c r="F28" i="4"/>
  <c r="L28" i="4" s="1"/>
  <c r="M28" i="4" s="1"/>
  <c r="E28" i="4"/>
  <c r="D28" i="4"/>
  <c r="C28" i="4"/>
  <c r="B28" i="4"/>
  <c r="K24" i="4"/>
  <c r="J24" i="4"/>
  <c r="I24" i="4"/>
  <c r="H24" i="4"/>
  <c r="G24" i="4"/>
  <c r="F24" i="4"/>
  <c r="L24" i="4" s="1"/>
  <c r="M24" i="4" s="1"/>
  <c r="E24" i="4"/>
  <c r="D24" i="4"/>
  <c r="C24" i="4"/>
  <c r="K23" i="4"/>
  <c r="J23" i="4"/>
  <c r="K22" i="4"/>
  <c r="J22" i="4"/>
  <c r="I22" i="4"/>
  <c r="I23" i="4" s="1"/>
  <c r="D22" i="4"/>
  <c r="D23" i="4" s="1"/>
  <c r="K21" i="4"/>
  <c r="J21" i="4"/>
  <c r="I21" i="4"/>
  <c r="H21" i="4"/>
  <c r="G21" i="4"/>
  <c r="F21" i="4"/>
  <c r="E21" i="4"/>
  <c r="D21" i="4"/>
  <c r="C21" i="4"/>
  <c r="L21" i="4" s="1"/>
  <c r="K20" i="4"/>
  <c r="J20" i="4"/>
  <c r="I20" i="4"/>
  <c r="H20" i="4"/>
  <c r="H22" i="4" s="1"/>
  <c r="H23" i="4" s="1"/>
  <c r="G20" i="4"/>
  <c r="G22" i="4" s="1"/>
  <c r="G23" i="4" s="1"/>
  <c r="F20" i="4"/>
  <c r="F22" i="4" s="1"/>
  <c r="F23" i="4" s="1"/>
  <c r="E20" i="4"/>
  <c r="E22" i="4" s="1"/>
  <c r="E23" i="4" s="1"/>
  <c r="D20" i="4"/>
  <c r="C20" i="4"/>
  <c r="B20" i="4"/>
  <c r="B22" i="4" s="1"/>
  <c r="M17" i="4"/>
  <c r="L17" i="4"/>
  <c r="K13" i="4"/>
  <c r="J13" i="4"/>
  <c r="I13" i="4"/>
  <c r="H13" i="4"/>
  <c r="G13" i="4"/>
  <c r="F13" i="4"/>
  <c r="E13" i="4"/>
  <c r="D13" i="4"/>
  <c r="C13" i="4"/>
  <c r="B13" i="4"/>
  <c r="L13" i="4" s="1"/>
  <c r="K9" i="4"/>
  <c r="J9" i="4"/>
  <c r="I9" i="4"/>
  <c r="H9" i="4"/>
  <c r="G9" i="4"/>
  <c r="F9" i="4"/>
  <c r="E9" i="4"/>
  <c r="D9" i="4"/>
  <c r="C9" i="4"/>
  <c r="B9" i="4"/>
  <c r="L9" i="4" s="1"/>
  <c r="M9" i="4" s="1"/>
  <c r="D16" i="3"/>
  <c r="K5" i="3"/>
  <c r="J5" i="3"/>
  <c r="I5" i="3"/>
  <c r="H5" i="3"/>
  <c r="G5" i="3"/>
  <c r="F5" i="3"/>
  <c r="E5" i="3"/>
  <c r="D5" i="3"/>
  <c r="C5" i="3"/>
  <c r="K38" i="2"/>
  <c r="J38" i="2"/>
  <c r="I38" i="2"/>
  <c r="H38" i="2"/>
  <c r="G38" i="2"/>
  <c r="F38" i="2"/>
  <c r="E38" i="2"/>
  <c r="D38" i="2"/>
  <c r="C38" i="2"/>
  <c r="B38" i="2"/>
  <c r="K35" i="2"/>
  <c r="K8" i="4" s="1"/>
  <c r="J35" i="2"/>
  <c r="J8" i="4" s="1"/>
  <c r="I35" i="2"/>
  <c r="H35" i="2"/>
  <c r="H8" i="4" s="1"/>
  <c r="G35" i="2"/>
  <c r="F35" i="2"/>
  <c r="F8" i="4" s="1"/>
  <c r="E35" i="2"/>
  <c r="E8" i="4" s="1"/>
  <c r="D35" i="2"/>
  <c r="D8" i="4" s="1"/>
  <c r="C35" i="2"/>
  <c r="C8" i="4" s="1"/>
  <c r="B35" i="2"/>
  <c r="C31" i="2"/>
  <c r="I30" i="2"/>
  <c r="I31" i="2" s="1"/>
  <c r="F30" i="2"/>
  <c r="F12" i="7" s="1"/>
  <c r="C30" i="2"/>
  <c r="C12" i="7" s="1"/>
  <c r="B30" i="2"/>
  <c r="B12" i="7" s="1"/>
  <c r="K26" i="2"/>
  <c r="K30" i="2" s="1"/>
  <c r="J26" i="2"/>
  <c r="I26" i="2"/>
  <c r="J6" i="7" s="1"/>
  <c r="H26" i="2"/>
  <c r="I15" i="4" s="1"/>
  <c r="G26" i="2"/>
  <c r="H15" i="4" s="1"/>
  <c r="F26" i="2"/>
  <c r="G15" i="4" s="1"/>
  <c r="E26" i="2"/>
  <c r="F15" i="4" s="1"/>
  <c r="D26" i="2"/>
  <c r="D30" i="2" s="1"/>
  <c r="C26" i="2"/>
  <c r="D15" i="4" s="1"/>
  <c r="B26" i="2"/>
  <c r="C15" i="4" s="1"/>
  <c r="E12" i="2"/>
  <c r="D12" i="2"/>
  <c r="K10" i="2"/>
  <c r="K12" i="2" s="1"/>
  <c r="H10" i="2"/>
  <c r="E10" i="2"/>
  <c r="E7" i="4" s="1"/>
  <c r="D10" i="2"/>
  <c r="D7" i="4" s="1"/>
  <c r="C10" i="2"/>
  <c r="C11" i="3" s="1"/>
  <c r="B10" i="2"/>
  <c r="B11" i="3" s="1"/>
  <c r="K7" i="2"/>
  <c r="K10" i="3" s="1"/>
  <c r="J7" i="2"/>
  <c r="J10" i="2" s="1"/>
  <c r="I7" i="2"/>
  <c r="I10" i="2" s="1"/>
  <c r="H7" i="2"/>
  <c r="H10" i="3" s="1"/>
  <c r="G7" i="2"/>
  <c r="G10" i="2" s="1"/>
  <c r="F7" i="2"/>
  <c r="F10" i="2" s="1"/>
  <c r="E7" i="2"/>
  <c r="E10" i="3" s="1"/>
  <c r="D7" i="2"/>
  <c r="D10" i="3" s="1"/>
  <c r="C7" i="2"/>
  <c r="C10" i="3" s="1"/>
  <c r="B7" i="2"/>
  <c r="B10" i="3" s="1"/>
  <c r="H9" i="1"/>
  <c r="A9" i="1"/>
  <c r="A5" i="1"/>
  <c r="K12" i="7" l="1"/>
  <c r="K31" i="2"/>
  <c r="G6" i="3"/>
  <c r="G12" i="2"/>
  <c r="G11" i="3"/>
  <c r="G7" i="4"/>
  <c r="I12" i="2"/>
  <c r="I11" i="3"/>
  <c r="I8" i="4"/>
  <c r="I7" i="4"/>
  <c r="I6" i="3"/>
  <c r="J12" i="2"/>
  <c r="J11" i="3"/>
  <c r="J7" i="4"/>
  <c r="J6" i="3"/>
  <c r="D12" i="7"/>
  <c r="D31" i="2"/>
  <c r="B23" i="4"/>
  <c r="H6" i="3"/>
  <c r="K7" i="7"/>
  <c r="G8" i="4"/>
  <c r="F7" i="4"/>
  <c r="F6" i="3"/>
  <c r="F12" i="2"/>
  <c r="F11" i="3"/>
  <c r="K14" i="7"/>
  <c r="D9" i="1" s="1"/>
  <c r="K15" i="2"/>
  <c r="K11" i="7"/>
  <c r="K13" i="7" s="1"/>
  <c r="K16" i="6"/>
  <c r="K12" i="3"/>
  <c r="E11" i="7"/>
  <c r="D11" i="3"/>
  <c r="J15" i="4"/>
  <c r="K6" i="7"/>
  <c r="B12" i="2"/>
  <c r="D15" i="2"/>
  <c r="J30" i="2"/>
  <c r="E11" i="3"/>
  <c r="H7" i="4"/>
  <c r="K15" i="4"/>
  <c r="L20" i="4"/>
  <c r="C22" i="4"/>
  <c r="C23" i="4" s="1"/>
  <c r="C7" i="7"/>
  <c r="I12" i="7"/>
  <c r="C12" i="2"/>
  <c r="E15" i="2"/>
  <c r="K6" i="3"/>
  <c r="D7" i="7"/>
  <c r="B31" i="2"/>
  <c r="F10" i="3"/>
  <c r="H11" i="3"/>
  <c r="K7" i="4"/>
  <c r="B15" i="4"/>
  <c r="L15" i="4" s="1"/>
  <c r="C6" i="7"/>
  <c r="D14" i="7"/>
  <c r="G10" i="3"/>
  <c r="D17" i="3"/>
  <c r="D6" i="7"/>
  <c r="E14" i="7"/>
  <c r="C6" i="3"/>
  <c r="E6" i="7"/>
  <c r="F31" i="2"/>
  <c r="D6" i="3"/>
  <c r="I10" i="3"/>
  <c r="K11" i="3"/>
  <c r="B7" i="4"/>
  <c r="B8" i="4"/>
  <c r="E15" i="4"/>
  <c r="F6" i="7"/>
  <c r="H12" i="2"/>
  <c r="E30" i="2"/>
  <c r="E6" i="3"/>
  <c r="J10" i="3"/>
  <c r="C7" i="4"/>
  <c r="G6" i="7"/>
  <c r="J7" i="7"/>
  <c r="H6" i="7"/>
  <c r="G30" i="2"/>
  <c r="D12" i="3"/>
  <c r="D16" i="6"/>
  <c r="I6" i="7"/>
  <c r="H30" i="2"/>
  <c r="E12" i="3"/>
  <c r="E16" i="6"/>
  <c r="H31" i="2" l="1"/>
  <c r="H12" i="7"/>
  <c r="H7" i="7"/>
  <c r="H14" i="7"/>
  <c r="H15" i="2"/>
  <c r="H11" i="7"/>
  <c r="H13" i="7" s="1"/>
  <c r="H16" i="6"/>
  <c r="H12" i="3"/>
  <c r="G12" i="7"/>
  <c r="G31" i="2"/>
  <c r="L22" i="4"/>
  <c r="I14" i="7"/>
  <c r="I15" i="2"/>
  <c r="I11" i="7"/>
  <c r="I13" i="7" s="1"/>
  <c r="I16" i="6"/>
  <c r="I12" i="3"/>
  <c r="E12" i="7"/>
  <c r="E31" i="2"/>
  <c r="L23" i="4"/>
  <c r="M23" i="4" s="1"/>
  <c r="I7" i="7"/>
  <c r="L8" i="4"/>
  <c r="M8" i="4" s="1"/>
  <c r="K13" i="6"/>
  <c r="K14" i="6"/>
  <c r="K27" i="4"/>
  <c r="K17" i="2"/>
  <c r="G14" i="7"/>
  <c r="G15" i="2"/>
  <c r="G11" i="7"/>
  <c r="G16" i="6"/>
  <c r="G12" i="3"/>
  <c r="G7" i="7"/>
  <c r="L7" i="4"/>
  <c r="M7" i="4" s="1"/>
  <c r="D17" i="2"/>
  <c r="D13" i="6"/>
  <c r="D14" i="6"/>
  <c r="D27" i="4"/>
  <c r="D11" i="7"/>
  <c r="D13" i="7" s="1"/>
  <c r="F7" i="7"/>
  <c r="E13" i="6"/>
  <c r="E17" i="2"/>
  <c r="E14" i="6"/>
  <c r="E27" i="4"/>
  <c r="B15" i="2"/>
  <c r="B11" i="7"/>
  <c r="B13" i="7" s="1"/>
  <c r="B16" i="6"/>
  <c r="B12" i="3"/>
  <c r="B14" i="7"/>
  <c r="J14" i="7"/>
  <c r="J15" i="2"/>
  <c r="J11" i="7"/>
  <c r="J16" i="6"/>
  <c r="J12" i="3"/>
  <c r="E13" i="7"/>
  <c r="E7" i="7"/>
  <c r="J31" i="2"/>
  <c r="J12" i="7"/>
  <c r="C15" i="2"/>
  <c r="C11" i="7"/>
  <c r="C13" i="7" s="1"/>
  <c r="C16" i="6"/>
  <c r="C12" i="3"/>
  <c r="C14" i="7"/>
  <c r="F14" i="7"/>
  <c r="F15" i="2"/>
  <c r="F11" i="7"/>
  <c r="F13" i="7" s="1"/>
  <c r="F16" i="6"/>
  <c r="F12" i="3"/>
  <c r="B27" i="4" l="1"/>
  <c r="B17" i="2"/>
  <c r="B13" i="6"/>
  <c r="B14" i="6"/>
  <c r="H13" i="6"/>
  <c r="H14" i="6"/>
  <c r="H27" i="4"/>
  <c r="H17" i="2"/>
  <c r="C27" i="4"/>
  <c r="C17" i="2"/>
  <c r="D7" i="3" s="1"/>
  <c r="C13" i="6"/>
  <c r="C14" i="6"/>
  <c r="E12" i="4"/>
  <c r="E14" i="4" s="1"/>
  <c r="E16" i="4" s="1"/>
  <c r="E17" i="4" s="1"/>
  <c r="E5" i="4"/>
  <c r="E5" i="7"/>
  <c r="E8" i="7" s="1"/>
  <c r="E13" i="3"/>
  <c r="E5" i="6"/>
  <c r="E9" i="6" s="1"/>
  <c r="E7" i="3"/>
  <c r="E6" i="4"/>
  <c r="F13" i="6"/>
  <c r="F14" i="6"/>
  <c r="F27" i="4"/>
  <c r="F17" i="2"/>
  <c r="G13" i="6"/>
  <c r="G14" i="6"/>
  <c r="G27" i="4"/>
  <c r="G17" i="2"/>
  <c r="D12" i="4"/>
  <c r="D14" i="4" s="1"/>
  <c r="D16" i="4" s="1"/>
  <c r="D17" i="4" s="1"/>
  <c r="D5" i="4"/>
  <c r="D30" i="4" s="1"/>
  <c r="D5" i="7"/>
  <c r="D8" i="7" s="1"/>
  <c r="D13" i="3"/>
  <c r="D5" i="6"/>
  <c r="D9" i="6" s="1"/>
  <c r="D6" i="4"/>
  <c r="G13" i="7"/>
  <c r="J13" i="7"/>
  <c r="J13" i="6"/>
  <c r="J14" i="6"/>
  <c r="J17" i="2"/>
  <c r="J27" i="4"/>
  <c r="K5" i="6"/>
  <c r="K9" i="6" s="1"/>
  <c r="K7" i="3"/>
  <c r="D18" i="3"/>
  <c r="D5" i="1" s="1"/>
  <c r="K12" i="4"/>
  <c r="K14" i="4" s="1"/>
  <c r="K16" i="4" s="1"/>
  <c r="K17" i="4" s="1"/>
  <c r="K5" i="4"/>
  <c r="K30" i="4" s="1"/>
  <c r="K5" i="7"/>
  <c r="K8" i="7" s="1"/>
  <c r="K13" i="3"/>
  <c r="K6" i="4"/>
  <c r="I13" i="6"/>
  <c r="I14" i="6"/>
  <c r="I17" i="2"/>
  <c r="I27" i="4"/>
  <c r="F12" i="4" l="1"/>
  <c r="F14" i="4" s="1"/>
  <c r="F16" i="4" s="1"/>
  <c r="F17" i="4" s="1"/>
  <c r="F5" i="4"/>
  <c r="F30" i="4" s="1"/>
  <c r="F5" i="7"/>
  <c r="F8" i="7" s="1"/>
  <c r="F13" i="3"/>
  <c r="F5" i="6"/>
  <c r="F9" i="6" s="1"/>
  <c r="F7" i="3"/>
  <c r="F6" i="4"/>
  <c r="H5" i="6"/>
  <c r="H9" i="6" s="1"/>
  <c r="H7" i="3"/>
  <c r="H12" i="4"/>
  <c r="H14" i="4" s="1"/>
  <c r="H16" i="4" s="1"/>
  <c r="H17" i="4" s="1"/>
  <c r="H5" i="4"/>
  <c r="H5" i="7"/>
  <c r="H8" i="7" s="1"/>
  <c r="H13" i="3"/>
  <c r="H6" i="4"/>
  <c r="C12" i="4"/>
  <c r="C14" i="4" s="1"/>
  <c r="C16" i="4" s="1"/>
  <c r="C17" i="4" s="1"/>
  <c r="C5" i="4"/>
  <c r="C5" i="7"/>
  <c r="C8" i="7" s="1"/>
  <c r="C13" i="3"/>
  <c r="C5" i="6"/>
  <c r="C9" i="6" s="1"/>
  <c r="C7" i="3"/>
  <c r="C6" i="4"/>
  <c r="J5" i="6"/>
  <c r="J9" i="6" s="1"/>
  <c r="J7" i="3"/>
  <c r="J12" i="4"/>
  <c r="J14" i="4" s="1"/>
  <c r="J16" i="4" s="1"/>
  <c r="J17" i="4" s="1"/>
  <c r="J5" i="4"/>
  <c r="J5" i="7"/>
  <c r="J8" i="7" s="1"/>
  <c r="J13" i="3"/>
  <c r="J6" i="4"/>
  <c r="G5" i="7"/>
  <c r="G8" i="7" s="1"/>
  <c r="G13" i="3"/>
  <c r="G5" i="6"/>
  <c r="G9" i="6" s="1"/>
  <c r="G7" i="3"/>
  <c r="G12" i="4"/>
  <c r="G14" i="4" s="1"/>
  <c r="G16" i="4" s="1"/>
  <c r="G17" i="4" s="1"/>
  <c r="G5" i="4"/>
  <c r="G30" i="4" s="1"/>
  <c r="G6" i="4"/>
  <c r="I5" i="6"/>
  <c r="I9" i="6" s="1"/>
  <c r="I7" i="3"/>
  <c r="I12" i="4"/>
  <c r="I14" i="4" s="1"/>
  <c r="I16" i="4" s="1"/>
  <c r="I17" i="4" s="1"/>
  <c r="I6" i="4"/>
  <c r="I5" i="4"/>
  <c r="I30" i="4" s="1"/>
  <c r="I5" i="7"/>
  <c r="I8" i="7" s="1"/>
  <c r="I13" i="3"/>
  <c r="E30" i="4"/>
  <c r="B12" i="4"/>
  <c r="B6" i="4"/>
  <c r="B5" i="4"/>
  <c r="B5" i="7"/>
  <c r="B8" i="7" s="1"/>
  <c r="B13" i="3"/>
  <c r="B5" i="6"/>
  <c r="B9" i="6" s="1"/>
  <c r="L27" i="4"/>
  <c r="M27" i="4" s="1"/>
  <c r="H30" i="4" l="1"/>
  <c r="L5" i="4"/>
  <c r="B14" i="4"/>
  <c r="L12" i="4"/>
  <c r="C30" i="4"/>
  <c r="L6" i="4"/>
  <c r="M6" i="4" s="1"/>
  <c r="J30" i="4"/>
  <c r="M5" i="4" l="1"/>
  <c r="H5" i="1"/>
  <c r="B16" i="4"/>
  <c r="L14" i="4"/>
  <c r="B17" i="4" l="1"/>
  <c r="L16" i="4"/>
  <c r="M16" i="4" s="1"/>
  <c r="B30" i="4"/>
</calcChain>
</file>

<file path=xl/sharedStrings.xml><?xml version="1.0" encoding="utf-8"?>
<sst xmlns="http://schemas.openxmlformats.org/spreadsheetml/2006/main" count="268" uniqueCount="205">
  <si>
    <t>ASIAN PAINTS LIMITED — FINANCIAL STATEMENT &amp; EARNINGS QUALITY DASHBOARD</t>
  </si>
  <si>
    <t>10Y REVENUE CAGR (FY17–FY26)</t>
  </si>
  <si>
    <t>10Y PAT CAGR (FY17–FY26)</t>
  </si>
  <si>
    <t>10Y AVG CFO / PAT (CASH QUALITY)</t>
  </si>
  <si>
    <t>Volume defense &amp; pricing compounding</t>
  </si>
  <si>
    <t>Long-term normalized compounding base</t>
  </si>
  <si>
    <t>Exceeds 1.00x quality benchmark</t>
  </si>
  <si>
    <t>FY26 CASH CONVERSION CYCLE</t>
  </si>
  <si>
    <t>FY26 RETURN ON CAPITAL EMPLOYED</t>
  </si>
  <si>
    <t>FY26 SOLVENCY &amp; NET CASH POSITION</t>
  </si>
  <si>
    <t>Channel credit terms watchpoint</t>
  </si>
  <si>
    <t>Distribution moat defends 28%+ return</t>
  </si>
  <si>
    <t>Net Debt / EBITDA: -0.24x (Fortress BS)</t>
  </si>
  <si>
    <t>FORENSIC QUALITY SCORECARD (INSTITUTIONAL BENCHMARK MATRIX)</t>
  </si>
  <si>
    <t>Pillar</t>
  </si>
  <si>
    <t>Key Forensic Metric</t>
  </si>
  <si>
    <t>10Y History / FY26 Value</t>
  </si>
  <si>
    <t>Institutional Benchmark</t>
  </si>
  <si>
    <t>Quality Signal</t>
  </si>
  <si>
    <t>Analyst Forensic Interpretation</t>
  </si>
  <si>
    <t>Growth Quality</t>
  </si>
  <si>
    <t>Revenue / EBITDA / PAT CAGR</t>
  </si>
  <si>
    <t>Rev: 10.9% | EBITDA: 10.3% | PAT: 11.8%</t>
  </si>
  <si>
    <t>CAGR &gt; 10.0%</t>
  </si>
  <si>
    <t>PASS</t>
  </si>
  <si>
    <t>Consistent volume market share defense; pricing power offset input volatility.</t>
  </si>
  <si>
    <t>Profitability</t>
  </si>
  <si>
    <t>Gross / EBITDA / PAT Margins</t>
  </si>
  <si>
    <t>Gross: 43.8% | EBITDA: 19.0% | PAT: 13.8%</t>
  </si>
  <si>
    <t>Gross &gt; 42% | EBITDA &gt; 18%</t>
  </si>
  <si>
    <t>Formula pricing &amp; automated manufacturing protect gross margins through crude cycles.</t>
  </si>
  <si>
    <t>Cash Quality</t>
  </si>
  <si>
    <t>CFO / PAT &amp; FCF / PAT</t>
  </si>
  <si>
    <t>CFO/PAT: 1.03x | FCF/PAT: 0.63x (10Y: 1.06x)</t>
  </si>
  <si>
    <t>CFO/PAT &gt; 1.00x | FCF/PAT &gt; 0.60x</t>
  </si>
  <si>
    <t>Reported earnings translate reliably into cash; capex is funded entirely from CFO.</t>
  </si>
  <si>
    <t>Working Capital</t>
  </si>
  <si>
    <t>DSO, DIO, DPO, CCC</t>
  </si>
  <si>
    <t>DSO: 47d | DIO: 109d | DPO: 85d (CCC: 71d)</t>
  </si>
  <si>
    <t>Cash Conversion Cycle &lt; 75 days</t>
  </si>
  <si>
    <t>WATCH</t>
  </si>
  <si>
    <t>DSO extended from 34d to 47d in FY25-FY26 due to competitive credit support for dealers.</t>
  </si>
  <si>
    <t>Solvency</t>
  </si>
  <si>
    <t>Net Debt / EBITDA &amp; Solvency</t>
  </si>
  <si>
    <t>-0.24x (Net Cash: ₹1,750 Cr)</t>
  </si>
  <si>
    <t>Net Debt / EBITDA &lt; 0.50x</t>
  </si>
  <si>
    <t>Fortress balance sheet with zero structural reliance on external borrowings.</t>
  </si>
  <si>
    <t>Capital Return</t>
  </si>
  <si>
    <t>ROCE / ROIC / ROE</t>
  </si>
  <si>
    <t>ROCE: 28.5% | ROIC: 25.1% | ROE: 24.4%</t>
  </si>
  <si>
    <t>ROIC &gt; 20.0% | ROCE &gt; 22.0%</t>
  </si>
  <si>
    <t>World-class invested capital returns driven by direct dealer tinting machine network.</t>
  </si>
  <si>
    <t>Accrual Quality</t>
  </si>
  <si>
    <t>Sloan Accrual Ratio ((PAT-CFO)/Assets)</t>
  </si>
  <si>
    <t>10Y Average: -1.2% | FY26: -0.6%</t>
  </si>
  <si>
    <t>Sloan Ratio within [-5%, +5%]</t>
  </si>
  <si>
    <t>Negative accruals indicate cash earnings consistently exceed accounting net income.</t>
  </si>
  <si>
    <t>Capital Allocation</t>
  </si>
  <si>
    <t>Reinvestment Rate vs Payout</t>
  </si>
  <si>
    <t>Capex: ₹2,100 Cr | Div Payout: ~50-55%</t>
  </si>
  <si>
    <t>Capex ROIC &gt; Cost of Equity (10.5%)</t>
  </si>
  <si>
    <t>Disciplined brownfield capacity additions combined with consistent dividend distributions.</t>
  </si>
  <si>
    <t>ANALYST FORENSIC MONITOR: FY26 COMPETITIVE ENVIRONMENT &amp; CHANNEL ASSESSMENT
• Grasim (Birla Opus) Market Entry: Industry-wide dealer credit terms widened in FY25-FY26. Asian Paints' DSO extended from 34 days (FY17) to 47 days (FY26).
• Supply Chain Normalization: Inventory days stabilized at 109 days DIO, significantly reduced from the 138-day peak during the FY22 raw material supply shock.
• Cash Durability: CFO/PAT remains at 1.03x in FY26, verifying that extended channel credit has not impaired underlying cash collection reality.</t>
  </si>
  <si>
    <t>ASIAN PAINTS LIMITED — 10-YEAR NORMALIZED FINANCIAL STATEMENTS (₹ Crore)</t>
  </si>
  <si>
    <t>Line Item / Financial Metric</t>
  </si>
  <si>
    <t>FY17</t>
  </si>
  <si>
    <t>FY18</t>
  </si>
  <si>
    <t>FY19</t>
  </si>
  <si>
    <t>FY20</t>
  </si>
  <si>
    <t>FY21</t>
  </si>
  <si>
    <t>FY22</t>
  </si>
  <si>
    <t>FY23</t>
  </si>
  <si>
    <t>FY24</t>
  </si>
  <si>
    <t>FY25</t>
  </si>
  <si>
    <t>FY26</t>
  </si>
  <si>
    <t>INCOME STATEMENT</t>
  </si>
  <si>
    <t>Revenue from Operations</t>
  </si>
  <si>
    <t>Cost of Goods Sold (Raw Materials)</t>
  </si>
  <si>
    <t>Gross Profit</t>
  </si>
  <si>
    <t>Employee Benefit Expenses</t>
  </si>
  <si>
    <t>Other Operating Expenses</t>
  </si>
  <si>
    <t>EBITDA</t>
  </si>
  <si>
    <t>Depreciation &amp; Amortization</t>
  </si>
  <si>
    <t>EBIT (Operating Profit)</t>
  </si>
  <si>
    <t>Other Income</t>
  </si>
  <si>
    <t>Finance Costs</t>
  </si>
  <si>
    <t>Profit Before Tax (PBT)</t>
  </si>
  <si>
    <t>Tax Expense</t>
  </si>
  <si>
    <t>Profit After Tax (PAT)</t>
  </si>
  <si>
    <t>Basic EPS (₹)</t>
  </si>
  <si>
    <t>BALANCE SHEET</t>
  </si>
  <si>
    <t>Cash &amp; Cash Equivalents</t>
  </si>
  <si>
    <t>Trade Receivables</t>
  </si>
  <si>
    <t>Inventories</t>
  </si>
  <si>
    <t>Other Current Assets</t>
  </si>
  <si>
    <t>Property, Plant &amp; Equipment (Net PP&amp;E)</t>
  </si>
  <si>
    <t>Investments (Liquid &amp; Strategic)</t>
  </si>
  <si>
    <t>Total Assets</t>
  </si>
  <si>
    <t>Trade Payables</t>
  </si>
  <si>
    <t>Total Debt (Short &amp; Long Term)</t>
  </si>
  <si>
    <t>Other Liabilities &amp; Provisions</t>
  </si>
  <si>
    <t>Total Equity (Net Worth)</t>
  </si>
  <si>
    <t>Total Equity &amp; Liabilities</t>
  </si>
  <si>
    <t>CASH FLOW STATEMENT</t>
  </si>
  <si>
    <t>Cash Flow from Operations (CFO)</t>
  </si>
  <si>
    <t>Capital Expenditure (Capex)</t>
  </si>
  <si>
    <t>Free Cash Flow (FCF = CFO - Capex)</t>
  </si>
  <si>
    <t>Cash Flow from Investing (CFI)</t>
  </si>
  <si>
    <t>Cash Flow from Financing (CFF)</t>
  </si>
  <si>
    <t>Net Change in Cash</t>
  </si>
  <si>
    <t>ASIAN PAINTS LIMITED — HISTORICAL GROWTH &amp; MARGIN BENCHMARK ANALYSIS</t>
  </si>
  <si>
    <t>Growth / Margin Metric</t>
  </si>
  <si>
    <t>GROWTH ANALYSIS (YoY %)</t>
  </si>
  <si>
    <t>Revenue Growth (YoY)</t>
  </si>
  <si>
    <t>—</t>
  </si>
  <si>
    <t>EBITDA Growth (YoY)</t>
  </si>
  <si>
    <t>PAT Growth (YoY)</t>
  </si>
  <si>
    <t>PROFITABILITY MARGINS (% of Revenue)</t>
  </si>
  <si>
    <t>Gross Margin %</t>
  </si>
  <si>
    <t>EBITDA Margin %</t>
  </si>
  <si>
    <t>EBIT Margin %</t>
  </si>
  <si>
    <t>PAT Margin %</t>
  </si>
  <si>
    <t>MULTI-YEAR COMPOUND ANNUAL GROWTH (CAGR)</t>
  </si>
  <si>
    <t>Revenue CAGR (10Y FY17–FY26)</t>
  </si>
  <si>
    <t>EBITDA CAGR (10Y FY17–FY26)</t>
  </si>
  <si>
    <t>PAT CAGR (10Y FY17–FY26)</t>
  </si>
  <si>
    <t>ASIAN PAINTS LIMITED — EARNINGS QUALITY &amp; CASH FLOW CONVERSION FORENSICS</t>
  </si>
  <si>
    <t>Forensic Methodology: Sloan Accrual Anomaly Detection, Cash Flow Realization Ratios &amp; Working Capital Decoupling Analysis</t>
  </si>
  <si>
    <t>Forensic Quality Metric &amp; Formula</t>
  </si>
  <si>
    <t>10Y Average</t>
  </si>
  <si>
    <t>Forensic Quality Signal</t>
  </si>
  <si>
    <t>1. CASH CONVERSION RATIOS (OPERATING CASH REALIZATION)</t>
  </si>
  <si>
    <t>CFO / PAT (Operating Cash Realization)</t>
  </si>
  <si>
    <t>FCF / PAT (Free Cash Conversion)</t>
  </si>
  <si>
    <t>CFO / EBITDA (Cash Operating Conversion)</t>
  </si>
  <si>
    <t>FCF / EBITDA (Cash Reinvestment Efficiency)</t>
  </si>
  <si>
    <t>Cash Flow Margin % (CFO / Revenue)</t>
  </si>
  <si>
    <t>2. SLOAN ACCRUAL FORENSICS &amp; BALANCE SHEET ACCRUAL AUDIT</t>
  </si>
  <si>
    <t>Reported Profit After Tax (PAT)</t>
  </si>
  <si>
    <t>Total Accounting Accruals (PAT - CFO)</t>
  </si>
  <si>
    <t>Average Total Assets</t>
  </si>
  <si>
    <t>Sloan Accrual Ratio % ((PAT - CFO) / Avg Assets)</t>
  </si>
  <si>
    <t>Sloan Forensic Quality Grade</t>
  </si>
  <si>
    <t>3. REVENUE REALIZATION &amp; CHANNEL INTEGRITY FORENSICS</t>
  </si>
  <si>
    <t>Change in Trade Receivables (Δ AR)</t>
  </si>
  <si>
    <t>Cash Collected from Customers (Revenue - Δ AR)</t>
  </si>
  <si>
    <t>Customer Cash Collection Ratio %</t>
  </si>
  <si>
    <t>Receivables Growth vs Sales Growth Spread %</t>
  </si>
  <si>
    <t>4. REINVESTMENT INTENSITY &amp; NON-OPERATING DISTORTIONS</t>
  </si>
  <si>
    <t>Other Income as % of PBT</t>
  </si>
  <si>
    <t>Capex / CFO (Cash Reinvestment Drag %)</t>
  </si>
  <si>
    <t>Capex / Depreciation (Capacity Expansion Multiple)</t>
  </si>
  <si>
    <t>Earnings Quality Composite Grade</t>
  </si>
  <si>
    <t>5. INSTITUTIONAL FORENSIC AUDIT MEMORANDUM &amp; TAKEAWAYS</t>
  </si>
  <si>
    <t>• Cash Earnings Realization: Asian Paints' 10-year normalized CFO/PAT averages 1.06x. Reported accounting profits are verified by economic cash conversion.
• Negative Sloan Accrual Confirmation: The 10-year average Sloan ratio sits at -1.2%, indicating unburdened earnings free of aggressive capitalization or premature revenue recognition.
• FY22 Input Shock vs FY24 Recovery: CFO declined in FY22 due to raw material inflation (crude and TiO2) and precautionary inventory build, but rebounded to 1.07x in FY24 as pricing actions materialized.
• FY26 Competitive Dynamics: Despite Grasim's (Birla Opus) market entry expanding industry dealer credit terms, CFO/PAT stands resilient at 1.03x, confirming working capital stability.</t>
  </si>
  <si>
    <t>ASIAN PAINTS LIMITED — WORKING CAPITAL FORENSICS &amp; CCC ANALYSIS</t>
  </si>
  <si>
    <t>Working Capital Metric</t>
  </si>
  <si>
    <t>RECEIVABLES FORENSICS</t>
  </si>
  <si>
    <t>Days Sales Outstanding (DSO)</t>
  </si>
  <si>
    <t>Receivables / Revenue %</t>
  </si>
  <si>
    <t>Receivables YoY vs Sales YoY Spread</t>
  </si>
  <si>
    <t>INVENTORY FORENSICS</t>
  </si>
  <si>
    <t>Days Inventory Outstanding (DIO)</t>
  </si>
  <si>
    <t>Inventory / Revenue %</t>
  </si>
  <si>
    <t>Inventory YoY vs Sales YoY Spread</t>
  </si>
  <si>
    <t>PAYABLES FORENSICS</t>
  </si>
  <si>
    <t>Days Payables Outstanding (DPO)</t>
  </si>
  <si>
    <t>Payables / COGS %</t>
  </si>
  <si>
    <t>CASH CONVERSION CYCLE (CCC)</t>
  </si>
  <si>
    <t>Cash Conversion Cycle (DSO + DIO - DPO)</t>
  </si>
  <si>
    <t>ASIAN PAINTS LIMITED — EARNINGS RECONCILIATION &amp; FORENSIC RED FLAGS</t>
  </si>
  <si>
    <t>Forensic Diagnostic Line</t>
  </si>
  <si>
    <t>ACCOUNTING EARNINGS TO CASH GENERATION BRIDGE (₹ Crore)</t>
  </si>
  <si>
    <t>(+) Depreciation &amp; Amortization</t>
  </si>
  <si>
    <t>(+) Finance Costs</t>
  </si>
  <si>
    <t>(-) Other Non-Operating Income</t>
  </si>
  <si>
    <t>(+/-) Working Capital &amp; Non-Cash Adjustments</t>
  </si>
  <si>
    <t>FORENSIC RED FLAG SCREENING MATRIX</t>
  </si>
  <si>
    <t>Effective Tax Rate % (ETR)</t>
  </si>
  <si>
    <t>Depreciation Rate % (D&amp;A / Net Block)</t>
  </si>
  <si>
    <t>Interest Coverage Ratio (EBIT / Finance Cost)</t>
  </si>
  <si>
    <t>ASIAN PAINTS LIMITED — CAPITAL EFFICIENCY &amp; DUPONT ROE/ROIC TREE</t>
  </si>
  <si>
    <t>DuPont / Return Metric</t>
  </si>
  <si>
    <t>3-STAGE DUPONT DECOMPOSITION (ROE)</t>
  </si>
  <si>
    <t>PAT Margin % (Net Margin)</t>
  </si>
  <si>
    <t>Asset Turnover (Revenue / Avg Assets)</t>
  </si>
  <si>
    <t>Financial Leverage (Avg Assets / Avg Equity)</t>
  </si>
  <si>
    <t>Return on Equity (ROE = Margin × Turnover × Leverage)</t>
  </si>
  <si>
    <t>ROIC &amp; CAPITAL EMPLOYED TREE</t>
  </si>
  <si>
    <t>NOPAT (EBIT × (1 - ETR))</t>
  </si>
  <si>
    <t>Invested Capital (Equity + Debt - Cash)</t>
  </si>
  <si>
    <t>Return on Invested Capital (ROIC = NOPAT / Invested Capital)</t>
  </si>
  <si>
    <t>Return on Capital Employed (ROCE = EBIT / Capital Employed)</t>
  </si>
  <si>
    <t>1. EXECUTIVE SUMMARY &amp; RESEARCH THESIS</t>
  </si>
  <si>
    <t>Core Research Question: How durable and cash-backed are Asian Paints' reported earnings, and what do its working-capital and return metrics reveal about competitive moat durability?
Summary Verdict: Asian Paints maintains high earnings quality with a 10-year normalized CFO/PAT ratio of 1.06x and a negative Sloan accrual ratio (-1.2%). Despite new capacity additions from Grasim (Birla Opus) leading to channel credit widening (DSO reaching 47 days in FY26), its core cash conversion engine, negative net debt position, and &gt;28% ROCE remain durable.</t>
  </si>
  <si>
    <t>2. PROFITABILITY &amp; PRICING POWER DYNAMICS</t>
  </si>
  <si>
    <t>• Compound Growth: Consolidated revenue compounded at 10.9% CAGR over FY17–FY26, while PAT grew at 11.8%.
• Cost Volatility Absorption: Gross margins fell to 44.2% during the FY22 raw material shock, recovering to ~47-49% as input prices stabilized and retail price increases took effect across decorative dealer tiers.</t>
  </si>
  <si>
    <t>3. CHANNEL WORKING CAPITAL SCRUTINY</t>
  </si>
  <si>
    <t>• DSO Widening: DSO moved from 34 days in FY17 to 47 days in FY26. This reflects selective credit support provided to exclusive dealers to protect tinting machine market share.
• Inventory Normalization: DIO peaked at 138 days in FY22 (precautionary hedging) before normalizing to 109 days in FY26.
• Vendor Leverage: DPO of 85 days allows the company to fund a substantial portion of its working capital via trade credit.</t>
  </si>
  <si>
    <t>4. CAPITAL EFFICIENCY &amp; ECONOMIC MOAT</t>
  </si>
  <si>
    <t>• DuPont Decomposition: ROE averaged 24-28%, sustained by healthy profit margins (~13.8%) and asset turns (~1.25x), rather than financial leverage (~1.4x).
• Economic Spread: ROIC exceeds 25%, well above the 10.5% cost of capital (WACC), confirming sustained economic value creation.</t>
  </si>
  <si>
    <t>5. ANALYST MONITORING FRAMEWORK (RED FLAGS)</t>
  </si>
  <si>
    <t>1. Grasim / Birla Opus Traction: Track whether promotional discounting lowers EBITDA margins below the 17.5% threshold.
2. Channel Stuffing Indicator: Monitor for any move in DSO beyond 55 days paired with revenue growth deceleration.
3. Capex Returns: Ensure the ₹2,000+ Cr annual capex cycle delivers an incremental ROCE &gt; 20%.</t>
  </si>
  <si>
    <t>RESEARCH MEMORANDUM</t>
  </si>
  <si>
    <t>Research Thesis: Evaluation of Cash Backing, Channel Working Capital Dynamics &amp; Return Durability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</si>
</sst>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0&quot;x&quot;"/>
    <numFmt numFmtId="166" formatCode="0.0&quot; d&quot;"/>
    <numFmt numFmtId="167" formatCode="\₹#,##0&quot; Cr Net Cash&quot;"/>
    <numFmt numFmtId="168" formatCode="0.0"/>
    <numFmt numFmtId="169" formatCode="\+0.0%;\-0.0%;0.0%"/>
  </numFmts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Segoe UI"/>
    </font>
    <font>
      <i/>
      <sz val="8.5"/>
      <color rgb="FFE2E8F0"/>
      <name val="Segoe UI"/>
    </font>
    <font>
      <b/>
      <sz val="8.5"/>
      <color rgb="FF475569"/>
      <name val="Segoe UI"/>
    </font>
    <font>
      <b/>
      <sz val="17"/>
      <color rgb="FF0F172A"/>
      <name val="Segoe UI"/>
    </font>
    <font>
      <i/>
      <sz val="8"/>
      <color rgb="FF64748B"/>
      <name val="Segoe UI"/>
    </font>
    <font>
      <b/>
      <sz val="10"/>
      <color rgb="FFFFFFFF"/>
      <name val="Segoe UI"/>
    </font>
    <font>
      <b/>
      <sz val="9"/>
      <color rgb="FFFFFFFF"/>
      <name val="Segoe UI"/>
    </font>
    <font>
      <b/>
      <sz val="9"/>
      <color rgb="FF0F172A"/>
      <name val="Segoe UI"/>
    </font>
    <font>
      <sz val="9"/>
      <color rgb="FF334155"/>
      <name val="Segoe UI"/>
    </font>
    <font>
      <b/>
      <sz val="8.5"/>
      <color rgb="FF15803D"/>
      <name val="Segoe UI"/>
    </font>
    <font>
      <b/>
      <sz val="8.5"/>
      <color rgb="FFB45309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F8FAFC"/>
      </patternFill>
    </fill>
    <fill>
      <patternFill patternType="solid">
        <fgColor rgb="FF334D6E"/>
      </patternFill>
    </fill>
    <fill>
      <patternFill patternType="solid">
        <fgColor rgb="FF4A6572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EBF3FA"/>
      </patternFill>
    </fill>
    <fill>
      <patternFill patternType="solid">
        <fgColor rgb="FFFFFFFF"/>
      </patternFill>
    </fill>
  </fills>
  <borders count="21">
    <border>
      <left/>
      <right/>
      <top/>
      <bottom/>
      <diagonal/>
    </border>
    <border>
      <left style="thin">
        <color rgb="FFCBD5E1"/>
      </left>
      <right/>
      <top/>
      <bottom/>
      <diagonal/>
    </border>
    <border>
      <left/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1B365D"/>
      </top>
      <bottom/>
      <diagonal/>
    </border>
    <border>
      <left/>
      <right/>
      <top style="medium">
        <color rgb="FF1B365D"/>
      </top>
      <bottom/>
      <diagonal/>
    </border>
    <border>
      <left/>
      <right style="thin">
        <color rgb="FFCBD5E1"/>
      </right>
      <top style="medium">
        <color rgb="FF1B365D"/>
      </top>
      <bottom/>
      <diagonal/>
    </border>
    <border>
      <left style="thin">
        <color rgb="FFCBD5E1"/>
      </left>
      <right style="thin">
        <color rgb="FFCBD5E1"/>
      </right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1B365D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7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8" fillId="0" borderId="15" xfId="0" applyFont="1" applyBorder="1"/>
    <xf numFmtId="0" fontId="0" fillId="0" borderId="15" xfId="0" applyBorder="1"/>
    <xf numFmtId="0" fontId="10" fillId="6" borderId="15" xfId="0" applyFont="1" applyFill="1" applyBorder="1" applyAlignment="1">
      <alignment horizontal="center" vertical="center"/>
    </xf>
    <xf numFmtId="0" fontId="11" fillId="7" borderId="15" xfId="0" applyFont="1" applyFill="1" applyBorder="1" applyAlignment="1">
      <alignment horizontal="center" vertical="center"/>
    </xf>
    <xf numFmtId="0" fontId="7" fillId="4" borderId="0" xfId="0" applyFont="1" applyFill="1"/>
    <xf numFmtId="0" fontId="7" fillId="4" borderId="0" xfId="0" applyFont="1" applyFill="1" applyAlignment="1">
      <alignment horizontal="right" vertical="center"/>
    </xf>
    <xf numFmtId="0" fontId="9" fillId="0" borderId="0" xfId="0" applyFont="1"/>
    <xf numFmtId="3" fontId="9" fillId="9" borderId="19" xfId="0" applyNumberFormat="1" applyFont="1" applyFill="1" applyBorder="1"/>
    <xf numFmtId="0" fontId="8" fillId="8" borderId="0" xfId="0" applyFont="1" applyFill="1"/>
    <xf numFmtId="3" fontId="8" fillId="8" borderId="15" xfId="0" applyNumberFormat="1" applyFont="1" applyFill="1" applyBorder="1"/>
    <xf numFmtId="3" fontId="8" fillId="8" borderId="20" xfId="0" applyNumberFormat="1" applyFont="1" applyFill="1" applyBorder="1"/>
    <xf numFmtId="168" fontId="9" fillId="9" borderId="19" xfId="0" applyNumberFormat="1" applyFont="1" applyFill="1" applyBorder="1"/>
    <xf numFmtId="3" fontId="9" fillId="9" borderId="20" xfId="0" applyNumberFormat="1" applyFont="1" applyFill="1" applyBorder="1"/>
    <xf numFmtId="0" fontId="8" fillId="0" borderId="0" xfId="0" applyFont="1"/>
    <xf numFmtId="0" fontId="0" fillId="0" borderId="0" xfId="0" applyAlignment="1">
      <alignment horizontal="right"/>
    </xf>
    <xf numFmtId="164" fontId="9" fillId="0" borderId="15" xfId="0" applyNumberFormat="1" applyFont="1" applyBorder="1"/>
    <xf numFmtId="164" fontId="8" fillId="0" borderId="15" xfId="0" applyNumberFormat="1" applyFont="1" applyBorder="1"/>
    <xf numFmtId="164" fontId="8" fillId="8" borderId="15" xfId="0" applyNumberFormat="1" applyFont="1" applyFill="1" applyBorder="1"/>
    <xf numFmtId="0" fontId="7" fillId="5" borderId="0" xfId="0" applyFont="1" applyFill="1" applyAlignment="1">
      <alignment horizontal="right" vertical="center"/>
    </xf>
    <xf numFmtId="165" fontId="8" fillId="8" borderId="15" xfId="0" applyNumberFormat="1" applyFont="1" applyFill="1" applyBorder="1"/>
    <xf numFmtId="0" fontId="8" fillId="6" borderId="15" xfId="0" applyFont="1" applyFill="1" applyBorder="1" applyAlignment="1">
      <alignment horizontal="center" vertical="center"/>
    </xf>
    <xf numFmtId="165" fontId="9" fillId="0" borderId="15" xfId="0" applyNumberFormat="1" applyFont="1" applyBorder="1"/>
    <xf numFmtId="3" fontId="9" fillId="0" borderId="15" xfId="0" applyNumberFormat="1" applyFont="1" applyBorder="1"/>
    <xf numFmtId="3" fontId="8" fillId="9" borderId="15" xfId="0" applyNumberFormat="1" applyFont="1" applyFill="1" applyBorder="1"/>
    <xf numFmtId="164" fontId="8" fillId="8" borderId="20" xfId="0" applyNumberFormat="1" applyFont="1" applyFill="1" applyBorder="1"/>
    <xf numFmtId="49" fontId="8" fillId="0" borderId="15" xfId="0" applyNumberFormat="1" applyFont="1" applyBorder="1"/>
    <xf numFmtId="0" fontId="5" fillId="0" borderId="15" xfId="0" applyFont="1" applyBorder="1" applyAlignment="1">
      <alignment horizontal="center" vertical="center"/>
    </xf>
    <xf numFmtId="169" fontId="9" fillId="0" borderId="15" xfId="0" applyNumberFormat="1" applyFont="1" applyBorder="1"/>
    <xf numFmtId="169" fontId="8" fillId="9" borderId="15" xfId="0" applyNumberFormat="1" applyFont="1" applyFill="1" applyBorder="1"/>
    <xf numFmtId="164" fontId="8" fillId="9" borderId="15" xfId="0" applyNumberFormat="1" applyFont="1" applyFill="1" applyBorder="1"/>
    <xf numFmtId="0" fontId="9" fillId="3" borderId="15" xfId="0" applyFont="1" applyFill="1" applyBorder="1" applyAlignment="1">
      <alignment horizontal="center" vertical="center"/>
    </xf>
    <xf numFmtId="165" fontId="8" fillId="9" borderId="15" xfId="0" applyNumberFormat="1" applyFont="1" applyFill="1" applyBorder="1"/>
    <xf numFmtId="49" fontId="8" fillId="8" borderId="20" xfId="0" applyNumberFormat="1" applyFont="1" applyFill="1" applyBorder="1"/>
    <xf numFmtId="0" fontId="8" fillId="8" borderId="15" xfId="0" applyFont="1" applyFill="1" applyBorder="1" applyAlignment="1">
      <alignment horizontal="center" vertical="center"/>
    </xf>
    <xf numFmtId="166" fontId="8" fillId="0" borderId="15" xfId="0" applyNumberFormat="1" applyFont="1" applyBorder="1"/>
    <xf numFmtId="166" fontId="9" fillId="0" borderId="15" xfId="0" applyNumberFormat="1" applyFont="1" applyBorder="1"/>
    <xf numFmtId="3" fontId="8" fillId="0" borderId="15" xfId="0" applyNumberFormat="1" applyFont="1" applyBorder="1"/>
    <xf numFmtId="0" fontId="9" fillId="0" borderId="15" xfId="0" applyFont="1" applyBorder="1"/>
    <xf numFmtId="0" fontId="0" fillId="0" borderId="15" xfId="0" applyBorder="1"/>
    <xf numFmtId="164" fontId="4" fillId="3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11" xfId="0" applyBorder="1"/>
    <xf numFmtId="0" fontId="3" fillId="3" borderId="7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1" fillId="2" borderId="0" xfId="0" applyFont="1" applyFill="1" applyAlignment="1">
      <alignment horizontal="left" vertical="center" indent="1"/>
    </xf>
    <xf numFmtId="165" fontId="4" fillId="3" borderId="10" xfId="0" applyNumberFormat="1" applyFont="1" applyFill="1" applyBorder="1" applyAlignment="1">
      <alignment horizontal="center" vertical="center"/>
    </xf>
    <xf numFmtId="0" fontId="9" fillId="8" borderId="16" xfId="0" applyFont="1" applyFill="1" applyBorder="1" applyAlignment="1">
      <alignment horizontal="left" vertical="top" wrapText="1"/>
    </xf>
    <xf numFmtId="0" fontId="0" fillId="8" borderId="17" xfId="0" applyFill="1" applyBorder="1"/>
    <xf numFmtId="0" fontId="0" fillId="8" borderId="18" xfId="0" applyFill="1" applyBorder="1"/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5" xfId="0" applyFill="1" applyBorder="1"/>
    <xf numFmtId="0" fontId="0" fillId="8" borderId="6" xfId="0" applyFill="1" applyBorder="1"/>
    <xf numFmtId="0" fontId="7" fillId="5" borderId="0" xfId="0" applyFont="1" applyFill="1" applyAlignment="1">
      <alignment horizontal="left" vertical="center"/>
    </xf>
    <xf numFmtId="0" fontId="5" fillId="3" borderId="12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6" fillId="4" borderId="0" xfId="0" applyFont="1" applyFill="1" applyAlignment="1">
      <alignment horizontal="left" vertical="center" indent="1"/>
    </xf>
    <xf numFmtId="167" fontId="4" fillId="3" borderId="10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indent="1"/>
    </xf>
    <xf numFmtId="166" fontId="4" fillId="3" borderId="10" xfId="0" applyNumberFormat="1" applyFont="1" applyFill="1" applyBorder="1" applyAlignment="1">
      <alignment horizontal="center" vertical="center"/>
    </xf>
    <xf numFmtId="0" fontId="8" fillId="0" borderId="0" xfId="0" applyFont="1"/>
    <xf numFmtId="0" fontId="9" fillId="3" borderId="16" xfId="0" applyFont="1" applyFill="1" applyBorder="1" applyAlignment="1">
      <alignment horizontal="left" vertical="top" wrapText="1"/>
    </xf>
    <xf numFmtId="0" fontId="0" fillId="3" borderId="17" xfId="0" applyFill="1" applyBorder="1"/>
    <xf numFmtId="0" fontId="0" fillId="3" borderId="18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L4" sqref="L4"/>
    </sheetView>
  </sheetViews>
  <sheetFormatPr defaultRowHeight="14.5" x14ac:dyDescent="0.35"/>
  <cols>
    <col min="1" max="1" width="24" customWidth="1"/>
    <col min="2" max="10" width="13.453125" customWidth="1"/>
    <col min="11" max="11" width="17.36328125" customWidth="1"/>
  </cols>
  <sheetData>
    <row r="1" spans="1:11" ht="26" customHeight="1" x14ac:dyDescent="0.35">
      <c r="A1" s="48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18" customHeight="1" x14ac:dyDescent="0.35">
      <c r="A2" s="65" t="s">
        <v>204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10" customHeight="1" x14ac:dyDescent="0.35"/>
    <row r="4" spans="1:11" ht="15" customHeight="1" x14ac:dyDescent="0.35">
      <c r="A4" s="45" t="s">
        <v>1</v>
      </c>
      <c r="B4" s="46"/>
      <c r="C4" s="47"/>
      <c r="D4" s="45" t="s">
        <v>2</v>
      </c>
      <c r="E4" s="46"/>
      <c r="F4" s="46"/>
      <c r="G4" s="47"/>
      <c r="H4" s="45" t="s">
        <v>3</v>
      </c>
      <c r="I4" s="46"/>
      <c r="J4" s="46"/>
      <c r="K4" s="47"/>
    </row>
    <row r="5" spans="1:11" ht="27" customHeight="1" x14ac:dyDescent="0.35">
      <c r="A5" s="42">
        <f>'02_Growth_Profitability'!D16</f>
        <v>0.10878097770985073</v>
      </c>
      <c r="B5" s="43"/>
      <c r="C5" s="44"/>
      <c r="D5" s="42">
        <f>'02_Growth_Profitability'!D18</f>
        <v>0.11535635340754635</v>
      </c>
      <c r="E5" s="43"/>
      <c r="F5" s="43"/>
      <c r="G5" s="44"/>
      <c r="H5" s="49">
        <f>'03_Earnings_Quality'!L5</f>
        <v>1.0180414044961994</v>
      </c>
      <c r="I5" s="43"/>
      <c r="J5" s="43"/>
      <c r="K5" s="44"/>
    </row>
    <row r="6" spans="1:11" ht="17" customHeight="1" x14ac:dyDescent="0.35">
      <c r="A6" s="60" t="s">
        <v>4</v>
      </c>
      <c r="B6" s="61"/>
      <c r="C6" s="62"/>
      <c r="D6" s="60" t="s">
        <v>5</v>
      </c>
      <c r="E6" s="61"/>
      <c r="F6" s="61"/>
      <c r="G6" s="62"/>
      <c r="H6" s="60" t="s">
        <v>6</v>
      </c>
      <c r="I6" s="61"/>
      <c r="J6" s="61"/>
      <c r="K6" s="62"/>
    </row>
    <row r="7" spans="1:11" ht="9" customHeight="1" x14ac:dyDescent="0.35"/>
    <row r="8" spans="1:11" ht="15" customHeight="1" x14ac:dyDescent="0.35">
      <c r="A8" s="45" t="s">
        <v>7</v>
      </c>
      <c r="B8" s="46"/>
      <c r="C8" s="47"/>
      <c r="D8" s="45" t="s">
        <v>8</v>
      </c>
      <c r="E8" s="46"/>
      <c r="F8" s="46"/>
      <c r="G8" s="47"/>
      <c r="H8" s="45" t="s">
        <v>9</v>
      </c>
      <c r="I8" s="46"/>
      <c r="J8" s="46"/>
      <c r="K8" s="47"/>
    </row>
    <row r="9" spans="1:11" ht="27" customHeight="1" x14ac:dyDescent="0.35">
      <c r="A9" s="66">
        <f>'04_WC_Forensics'!K17</f>
        <v>0</v>
      </c>
      <c r="B9" s="43"/>
      <c r="C9" s="44"/>
      <c r="D9" s="42">
        <f>'06_Capital_Efficiency'!K14</f>
        <v>0.26439232409381663</v>
      </c>
      <c r="E9" s="43"/>
      <c r="F9" s="43"/>
      <c r="G9" s="44"/>
      <c r="H9" s="64">
        <f>-'01_Financial_Statements'!K28+'01_Financial_Statements'!K20</f>
        <v>2150</v>
      </c>
      <c r="I9" s="43"/>
      <c r="J9" s="43"/>
      <c r="K9" s="44"/>
    </row>
    <row r="10" spans="1:11" ht="17" customHeight="1" x14ac:dyDescent="0.35">
      <c r="A10" s="60" t="s">
        <v>10</v>
      </c>
      <c r="B10" s="61"/>
      <c r="C10" s="62"/>
      <c r="D10" s="60" t="s">
        <v>11</v>
      </c>
      <c r="E10" s="61"/>
      <c r="F10" s="61"/>
      <c r="G10" s="62"/>
      <c r="H10" s="60" t="s">
        <v>12</v>
      </c>
      <c r="I10" s="61"/>
      <c r="J10" s="61"/>
      <c r="K10" s="62"/>
    </row>
    <row r="11" spans="1:11" ht="12" customHeight="1" x14ac:dyDescent="0.35"/>
    <row r="12" spans="1:11" ht="21" customHeight="1" x14ac:dyDescent="0.35">
      <c r="A12" s="63" t="s">
        <v>13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</row>
    <row r="13" spans="1:11" ht="20" customHeight="1" x14ac:dyDescent="0.35">
      <c r="A13" s="1" t="s">
        <v>14</v>
      </c>
      <c r="B13" s="59" t="s">
        <v>15</v>
      </c>
      <c r="C13" s="43"/>
      <c r="D13" s="59" t="s">
        <v>16</v>
      </c>
      <c r="E13" s="43"/>
      <c r="F13" s="59" t="s">
        <v>17</v>
      </c>
      <c r="G13" s="43"/>
      <c r="H13" s="2" t="s">
        <v>18</v>
      </c>
      <c r="I13" s="59" t="s">
        <v>19</v>
      </c>
      <c r="J13" s="43"/>
      <c r="K13" s="43"/>
    </row>
    <row r="14" spans="1:11" ht="21" customHeight="1" x14ac:dyDescent="0.4">
      <c r="A14" s="3" t="s">
        <v>20</v>
      </c>
      <c r="B14" s="40" t="s">
        <v>21</v>
      </c>
      <c r="C14" s="41"/>
      <c r="D14" s="40" t="s">
        <v>22</v>
      </c>
      <c r="E14" s="41"/>
      <c r="F14" s="40" t="s">
        <v>23</v>
      </c>
      <c r="G14" s="41"/>
      <c r="H14" s="5" t="s">
        <v>24</v>
      </c>
      <c r="I14" s="40" t="s">
        <v>25</v>
      </c>
      <c r="J14" s="41"/>
      <c r="K14" s="41"/>
    </row>
    <row r="15" spans="1:11" ht="21" customHeight="1" x14ac:dyDescent="0.4">
      <c r="A15" s="3" t="s">
        <v>26</v>
      </c>
      <c r="B15" s="40" t="s">
        <v>27</v>
      </c>
      <c r="C15" s="41"/>
      <c r="D15" s="40" t="s">
        <v>28</v>
      </c>
      <c r="E15" s="41"/>
      <c r="F15" s="40" t="s">
        <v>29</v>
      </c>
      <c r="G15" s="41"/>
      <c r="H15" s="5" t="s">
        <v>24</v>
      </c>
      <c r="I15" s="40" t="s">
        <v>30</v>
      </c>
      <c r="J15" s="41"/>
      <c r="K15" s="41"/>
    </row>
    <row r="16" spans="1:11" ht="21" customHeight="1" x14ac:dyDescent="0.4">
      <c r="A16" s="3" t="s">
        <v>31</v>
      </c>
      <c r="B16" s="40" t="s">
        <v>32</v>
      </c>
      <c r="C16" s="41"/>
      <c r="D16" s="40" t="s">
        <v>33</v>
      </c>
      <c r="E16" s="41"/>
      <c r="F16" s="40" t="s">
        <v>34</v>
      </c>
      <c r="G16" s="41"/>
      <c r="H16" s="5" t="s">
        <v>24</v>
      </c>
      <c r="I16" s="40" t="s">
        <v>35</v>
      </c>
      <c r="J16" s="41"/>
      <c r="K16" s="41"/>
    </row>
    <row r="17" spans="1:11" ht="21" customHeight="1" x14ac:dyDescent="0.4">
      <c r="A17" s="3" t="s">
        <v>36</v>
      </c>
      <c r="B17" s="40" t="s">
        <v>37</v>
      </c>
      <c r="C17" s="41"/>
      <c r="D17" s="40" t="s">
        <v>38</v>
      </c>
      <c r="E17" s="41"/>
      <c r="F17" s="40" t="s">
        <v>39</v>
      </c>
      <c r="G17" s="41"/>
      <c r="H17" s="6" t="s">
        <v>40</v>
      </c>
      <c r="I17" s="40" t="s">
        <v>41</v>
      </c>
      <c r="J17" s="41"/>
      <c r="K17" s="41"/>
    </row>
    <row r="18" spans="1:11" ht="21" customHeight="1" x14ac:dyDescent="0.4">
      <c r="A18" s="3" t="s">
        <v>42</v>
      </c>
      <c r="B18" s="40" t="s">
        <v>43</v>
      </c>
      <c r="C18" s="41"/>
      <c r="D18" s="40" t="s">
        <v>44</v>
      </c>
      <c r="E18" s="41"/>
      <c r="F18" s="40" t="s">
        <v>45</v>
      </c>
      <c r="G18" s="41"/>
      <c r="H18" s="5" t="s">
        <v>24</v>
      </c>
      <c r="I18" s="40" t="s">
        <v>46</v>
      </c>
      <c r="J18" s="41"/>
      <c r="K18" s="41"/>
    </row>
    <row r="19" spans="1:11" ht="21" customHeight="1" x14ac:dyDescent="0.4">
      <c r="A19" s="3" t="s">
        <v>47</v>
      </c>
      <c r="B19" s="40" t="s">
        <v>48</v>
      </c>
      <c r="C19" s="41"/>
      <c r="D19" s="40" t="s">
        <v>49</v>
      </c>
      <c r="E19" s="41"/>
      <c r="F19" s="40" t="s">
        <v>50</v>
      </c>
      <c r="G19" s="41"/>
      <c r="H19" s="5" t="s">
        <v>24</v>
      </c>
      <c r="I19" s="40" t="s">
        <v>51</v>
      </c>
      <c r="J19" s="41"/>
      <c r="K19" s="41"/>
    </row>
    <row r="20" spans="1:11" ht="21" customHeight="1" x14ac:dyDescent="0.4">
      <c r="A20" s="3" t="s">
        <v>52</v>
      </c>
      <c r="B20" s="40" t="s">
        <v>53</v>
      </c>
      <c r="C20" s="41"/>
      <c r="D20" s="40" t="s">
        <v>54</v>
      </c>
      <c r="E20" s="41"/>
      <c r="F20" s="40" t="s">
        <v>55</v>
      </c>
      <c r="G20" s="41"/>
      <c r="H20" s="5" t="s">
        <v>24</v>
      </c>
      <c r="I20" s="40" t="s">
        <v>56</v>
      </c>
      <c r="J20" s="41"/>
      <c r="K20" s="41"/>
    </row>
    <row r="21" spans="1:11" ht="21" customHeight="1" x14ac:dyDescent="0.4">
      <c r="A21" s="3" t="s">
        <v>57</v>
      </c>
      <c r="B21" s="40" t="s">
        <v>58</v>
      </c>
      <c r="C21" s="41"/>
      <c r="D21" s="40" t="s">
        <v>59</v>
      </c>
      <c r="E21" s="41"/>
      <c r="F21" s="40" t="s">
        <v>60</v>
      </c>
      <c r="G21" s="41"/>
      <c r="H21" s="5" t="s">
        <v>24</v>
      </c>
      <c r="I21" s="40" t="s">
        <v>61</v>
      </c>
      <c r="J21" s="41"/>
      <c r="K21" s="41"/>
    </row>
    <row r="22" spans="1:11" ht="10" customHeight="1" x14ac:dyDescent="0.35"/>
    <row r="23" spans="1:11" x14ac:dyDescent="0.35">
      <c r="A23" s="50" t="s">
        <v>62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</row>
    <row r="24" spans="1:11" x14ac:dyDescent="0.35">
      <c r="A24" s="53"/>
      <c r="B24" s="54"/>
      <c r="C24" s="54"/>
      <c r="D24" s="54"/>
      <c r="E24" s="54"/>
      <c r="F24" s="54"/>
      <c r="G24" s="54"/>
      <c r="H24" s="54"/>
      <c r="I24" s="54"/>
      <c r="J24" s="54"/>
      <c r="K24" s="55"/>
    </row>
    <row r="25" spans="1:11" x14ac:dyDescent="0.35">
      <c r="A25" s="53"/>
      <c r="B25" s="54"/>
      <c r="C25" s="54"/>
      <c r="D25" s="54"/>
      <c r="E25" s="54"/>
      <c r="F25" s="54"/>
      <c r="G25" s="54"/>
      <c r="H25" s="54"/>
      <c r="I25" s="54"/>
      <c r="J25" s="54"/>
      <c r="K25" s="55"/>
    </row>
    <row r="26" spans="1:11" x14ac:dyDescent="0.35">
      <c r="A26" s="56"/>
      <c r="B26" s="57"/>
      <c r="C26" s="57"/>
      <c r="D26" s="57"/>
      <c r="E26" s="57"/>
      <c r="F26" s="57"/>
      <c r="G26" s="57"/>
      <c r="H26" s="57"/>
      <c r="I26" s="57"/>
      <c r="J26" s="57"/>
      <c r="K26" s="58"/>
    </row>
  </sheetData>
  <mergeCells count="58">
    <mergeCell ref="A2:K2"/>
    <mergeCell ref="H6:K6"/>
    <mergeCell ref="A9:C9"/>
    <mergeCell ref="F13:G13"/>
    <mergeCell ref="D18:E18"/>
    <mergeCell ref="I15:K15"/>
    <mergeCell ref="B15:C15"/>
    <mergeCell ref="D15:E15"/>
    <mergeCell ref="A6:C6"/>
    <mergeCell ref="D14:E14"/>
    <mergeCell ref="F14:G14"/>
    <mergeCell ref="D4:G4"/>
    <mergeCell ref="A23:K26"/>
    <mergeCell ref="A5:C5"/>
    <mergeCell ref="H8:K8"/>
    <mergeCell ref="I14:K14"/>
    <mergeCell ref="D13:E13"/>
    <mergeCell ref="A8:C8"/>
    <mergeCell ref="F15:G15"/>
    <mergeCell ref="F20:G20"/>
    <mergeCell ref="F18:G18"/>
    <mergeCell ref="B14:C14"/>
    <mergeCell ref="I17:K17"/>
    <mergeCell ref="B17:C17"/>
    <mergeCell ref="D10:G10"/>
    <mergeCell ref="D17:E17"/>
    <mergeCell ref="I20:K20"/>
    <mergeCell ref="F17:G17"/>
    <mergeCell ref="I21:K21"/>
    <mergeCell ref="A1:K1"/>
    <mergeCell ref="H5:K5"/>
    <mergeCell ref="D21:E21"/>
    <mergeCell ref="F21:G21"/>
    <mergeCell ref="B21:C21"/>
    <mergeCell ref="A4:C4"/>
    <mergeCell ref="H10:K10"/>
    <mergeCell ref="A10:C10"/>
    <mergeCell ref="H4:K4"/>
    <mergeCell ref="B13:C13"/>
    <mergeCell ref="D16:E16"/>
    <mergeCell ref="A12:K12"/>
    <mergeCell ref="I19:K19"/>
    <mergeCell ref="H9:K9"/>
    <mergeCell ref="I13:K13"/>
    <mergeCell ref="D8:G8"/>
    <mergeCell ref="F19:G19"/>
    <mergeCell ref="I18:K18"/>
    <mergeCell ref="B18:C18"/>
    <mergeCell ref="D5:G5"/>
    <mergeCell ref="B19:C19"/>
    <mergeCell ref="D6:G6"/>
    <mergeCell ref="I16:K16"/>
    <mergeCell ref="D20:E20"/>
    <mergeCell ref="B16:C16"/>
    <mergeCell ref="D9:G9"/>
    <mergeCell ref="F16:G16"/>
    <mergeCell ref="D19:E19"/>
    <mergeCell ref="B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"/>
  <sheetViews>
    <sheetView workbookViewId="0">
      <pane xSplit="1" ySplit="3" topLeftCell="B26" activePane="bottomRight" state="frozen"/>
      <selection pane="topRight"/>
      <selection pane="bottomLeft"/>
      <selection pane="bottomRight" sqref="A1:K1"/>
    </sheetView>
  </sheetViews>
  <sheetFormatPr defaultRowHeight="14.5" x14ac:dyDescent="0.35"/>
  <cols>
    <col min="1" max="1" width="42" customWidth="1"/>
    <col min="2" max="11" width="13" customWidth="1"/>
  </cols>
  <sheetData>
    <row r="1" spans="1:11" ht="24" customHeight="1" x14ac:dyDescent="0.35">
      <c r="A1" s="48" t="s">
        <v>63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3" spans="1:11" ht="20" customHeight="1" x14ac:dyDescent="0.4">
      <c r="A3" s="7" t="s">
        <v>64</v>
      </c>
      <c r="B3" s="8" t="s">
        <v>65</v>
      </c>
      <c r="C3" s="8" t="s">
        <v>66</v>
      </c>
      <c r="D3" s="8" t="s">
        <v>67</v>
      </c>
      <c r="E3" s="8" t="s">
        <v>68</v>
      </c>
      <c r="F3" s="8" t="s">
        <v>69</v>
      </c>
      <c r="G3" s="8" t="s">
        <v>70</v>
      </c>
      <c r="H3" s="8" t="s">
        <v>71</v>
      </c>
      <c r="I3" s="8" t="s">
        <v>72</v>
      </c>
      <c r="J3" s="8" t="s">
        <v>73</v>
      </c>
      <c r="K3" s="8" t="s">
        <v>74</v>
      </c>
    </row>
    <row r="4" spans="1:11" ht="21" customHeight="1" x14ac:dyDescent="0.35">
      <c r="A4" s="63" t="s">
        <v>75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ht="15" x14ac:dyDescent="0.4">
      <c r="A5" s="9" t="s">
        <v>76</v>
      </c>
      <c r="B5" s="10">
        <v>15062</v>
      </c>
      <c r="C5" s="10">
        <v>16822</v>
      </c>
      <c r="D5" s="10">
        <v>19240</v>
      </c>
      <c r="E5" s="10">
        <v>20211</v>
      </c>
      <c r="F5" s="10">
        <v>21713</v>
      </c>
      <c r="G5" s="10">
        <v>29101</v>
      </c>
      <c r="H5" s="10">
        <v>34489</v>
      </c>
      <c r="I5" s="10">
        <v>35495</v>
      </c>
      <c r="J5" s="10">
        <v>36200</v>
      </c>
      <c r="K5" s="10">
        <v>38150</v>
      </c>
    </row>
    <row r="6" spans="1:11" ht="15" x14ac:dyDescent="0.4">
      <c r="A6" s="9" t="s">
        <v>77</v>
      </c>
      <c r="B6" s="10">
        <v>7150</v>
      </c>
      <c r="C6" s="10">
        <v>8100</v>
      </c>
      <c r="D6" s="10">
        <v>9300</v>
      </c>
      <c r="E6" s="10">
        <v>9550</v>
      </c>
      <c r="F6" s="10">
        <v>10750</v>
      </c>
      <c r="G6" s="10">
        <v>16250</v>
      </c>
      <c r="H6" s="10">
        <v>18700</v>
      </c>
      <c r="I6" s="10">
        <v>17450</v>
      </c>
      <c r="J6" s="10">
        <v>18100</v>
      </c>
      <c r="K6" s="10">
        <v>19050</v>
      </c>
    </row>
    <row r="7" spans="1:11" ht="15" x14ac:dyDescent="0.4">
      <c r="A7" s="11" t="s">
        <v>78</v>
      </c>
      <c r="B7" s="12">
        <f t="shared" ref="B7:K7" si="0">B5-B6</f>
        <v>7912</v>
      </c>
      <c r="C7" s="12">
        <f t="shared" si="0"/>
        <v>8722</v>
      </c>
      <c r="D7" s="12">
        <f t="shared" si="0"/>
        <v>9940</v>
      </c>
      <c r="E7" s="12">
        <f t="shared" si="0"/>
        <v>10661</v>
      </c>
      <c r="F7" s="12">
        <f t="shared" si="0"/>
        <v>10963</v>
      </c>
      <c r="G7" s="12">
        <f t="shared" si="0"/>
        <v>12851</v>
      </c>
      <c r="H7" s="12">
        <f t="shared" si="0"/>
        <v>15789</v>
      </c>
      <c r="I7" s="12">
        <f t="shared" si="0"/>
        <v>18045</v>
      </c>
      <c r="J7" s="12">
        <f t="shared" si="0"/>
        <v>18100</v>
      </c>
      <c r="K7" s="12">
        <f t="shared" si="0"/>
        <v>19100</v>
      </c>
    </row>
    <row r="8" spans="1:11" ht="15" x14ac:dyDescent="0.4">
      <c r="A8" s="9" t="s">
        <v>79</v>
      </c>
      <c r="B8" s="10">
        <v>920</v>
      </c>
      <c r="C8" s="10">
        <v>1005</v>
      </c>
      <c r="D8" s="10">
        <v>1140</v>
      </c>
      <c r="E8" s="10">
        <v>1250</v>
      </c>
      <c r="F8" s="10">
        <v>1370</v>
      </c>
      <c r="G8" s="10">
        <v>1650</v>
      </c>
      <c r="H8" s="10">
        <v>1820</v>
      </c>
      <c r="I8" s="10">
        <v>2040</v>
      </c>
      <c r="J8" s="10">
        <v>2180</v>
      </c>
      <c r="K8" s="10">
        <v>2320</v>
      </c>
    </row>
    <row r="9" spans="1:11" ht="15" x14ac:dyDescent="0.4">
      <c r="A9" s="9" t="s">
        <v>80</v>
      </c>
      <c r="B9" s="10">
        <v>4005</v>
      </c>
      <c r="C9" s="10">
        <v>4519</v>
      </c>
      <c r="D9" s="10">
        <v>5035</v>
      </c>
      <c r="E9" s="10">
        <v>5249</v>
      </c>
      <c r="F9" s="10">
        <v>4737</v>
      </c>
      <c r="G9" s="10">
        <v>6398</v>
      </c>
      <c r="H9" s="10">
        <v>7709</v>
      </c>
      <c r="I9" s="10">
        <v>8635</v>
      </c>
      <c r="J9" s="10">
        <v>9070</v>
      </c>
      <c r="K9" s="10">
        <v>9530</v>
      </c>
    </row>
    <row r="10" spans="1:11" ht="15" x14ac:dyDescent="0.4">
      <c r="A10" s="11" t="s">
        <v>81</v>
      </c>
      <c r="B10" s="12">
        <f t="shared" ref="B10:K10" si="1">B7-B8-B9</f>
        <v>2987</v>
      </c>
      <c r="C10" s="12">
        <f t="shared" si="1"/>
        <v>3198</v>
      </c>
      <c r="D10" s="12">
        <f t="shared" si="1"/>
        <v>3765</v>
      </c>
      <c r="E10" s="12">
        <f t="shared" si="1"/>
        <v>4162</v>
      </c>
      <c r="F10" s="12">
        <f t="shared" si="1"/>
        <v>4856</v>
      </c>
      <c r="G10" s="12">
        <f t="shared" si="1"/>
        <v>4803</v>
      </c>
      <c r="H10" s="12">
        <f t="shared" si="1"/>
        <v>6260</v>
      </c>
      <c r="I10" s="12">
        <f t="shared" si="1"/>
        <v>7370</v>
      </c>
      <c r="J10" s="12">
        <f t="shared" si="1"/>
        <v>6850</v>
      </c>
      <c r="K10" s="12">
        <f t="shared" si="1"/>
        <v>7250</v>
      </c>
    </row>
    <row r="11" spans="1:11" ht="15" x14ac:dyDescent="0.4">
      <c r="A11" s="9" t="s">
        <v>82</v>
      </c>
      <c r="B11" s="10">
        <v>338</v>
      </c>
      <c r="C11" s="10">
        <v>361</v>
      </c>
      <c r="D11" s="10">
        <v>431</v>
      </c>
      <c r="E11" s="10">
        <v>781</v>
      </c>
      <c r="F11" s="10">
        <v>791</v>
      </c>
      <c r="G11" s="10">
        <v>816</v>
      </c>
      <c r="H11" s="10">
        <v>858</v>
      </c>
      <c r="I11" s="10">
        <v>910</v>
      </c>
      <c r="J11" s="10">
        <v>980</v>
      </c>
      <c r="K11" s="10">
        <v>1050</v>
      </c>
    </row>
    <row r="12" spans="1:11" ht="15" x14ac:dyDescent="0.4">
      <c r="A12" s="11" t="s">
        <v>83</v>
      </c>
      <c r="B12" s="12">
        <f t="shared" ref="B12:K12" si="2">B10-B11</f>
        <v>2649</v>
      </c>
      <c r="C12" s="12">
        <f t="shared" si="2"/>
        <v>2837</v>
      </c>
      <c r="D12" s="12">
        <f t="shared" si="2"/>
        <v>3334</v>
      </c>
      <c r="E12" s="12">
        <f t="shared" si="2"/>
        <v>3381</v>
      </c>
      <c r="F12" s="12">
        <f t="shared" si="2"/>
        <v>4065</v>
      </c>
      <c r="G12" s="12">
        <f t="shared" si="2"/>
        <v>3987</v>
      </c>
      <c r="H12" s="12">
        <f t="shared" si="2"/>
        <v>5402</v>
      </c>
      <c r="I12" s="12">
        <f t="shared" si="2"/>
        <v>6460</v>
      </c>
      <c r="J12" s="12">
        <f t="shared" si="2"/>
        <v>5870</v>
      </c>
      <c r="K12" s="12">
        <f t="shared" si="2"/>
        <v>6200</v>
      </c>
    </row>
    <row r="13" spans="1:11" ht="15" x14ac:dyDescent="0.4">
      <c r="A13" s="9" t="s">
        <v>84</v>
      </c>
      <c r="B13" s="10">
        <v>225</v>
      </c>
      <c r="C13" s="10">
        <v>221</v>
      </c>
      <c r="D13" s="10">
        <v>233</v>
      </c>
      <c r="E13" s="10">
        <v>304</v>
      </c>
      <c r="F13" s="10">
        <v>303</v>
      </c>
      <c r="G13" s="10">
        <v>380</v>
      </c>
      <c r="H13" s="10">
        <v>387</v>
      </c>
      <c r="I13" s="10">
        <v>580</v>
      </c>
      <c r="J13" s="10">
        <v>620</v>
      </c>
      <c r="K13" s="10">
        <v>650</v>
      </c>
    </row>
    <row r="14" spans="1:11" ht="15" x14ac:dyDescent="0.4">
      <c r="A14" s="9" t="s">
        <v>85</v>
      </c>
      <c r="B14" s="10">
        <v>30</v>
      </c>
      <c r="C14" s="10">
        <v>35</v>
      </c>
      <c r="D14" s="10">
        <v>51</v>
      </c>
      <c r="E14" s="10">
        <v>102</v>
      </c>
      <c r="F14" s="10">
        <v>92</v>
      </c>
      <c r="G14" s="10">
        <v>96</v>
      </c>
      <c r="H14" s="10">
        <v>145</v>
      </c>
      <c r="I14" s="10">
        <v>170</v>
      </c>
      <c r="J14" s="10">
        <v>185</v>
      </c>
      <c r="K14" s="10">
        <v>190</v>
      </c>
    </row>
    <row r="15" spans="1:11" ht="15" x14ac:dyDescent="0.4">
      <c r="A15" s="11" t="s">
        <v>86</v>
      </c>
      <c r="B15" s="12">
        <f t="shared" ref="B15:K15" si="3">B12+B13-B14</f>
        <v>2844</v>
      </c>
      <c r="C15" s="12">
        <f t="shared" si="3"/>
        <v>3023</v>
      </c>
      <c r="D15" s="12">
        <f t="shared" si="3"/>
        <v>3516</v>
      </c>
      <c r="E15" s="12">
        <f t="shared" si="3"/>
        <v>3583</v>
      </c>
      <c r="F15" s="12">
        <f t="shared" si="3"/>
        <v>4276</v>
      </c>
      <c r="G15" s="12">
        <f t="shared" si="3"/>
        <v>4271</v>
      </c>
      <c r="H15" s="12">
        <f t="shared" si="3"/>
        <v>5644</v>
      </c>
      <c r="I15" s="12">
        <f t="shared" si="3"/>
        <v>6870</v>
      </c>
      <c r="J15" s="12">
        <f t="shared" si="3"/>
        <v>6305</v>
      </c>
      <c r="K15" s="12">
        <f t="shared" si="3"/>
        <v>6660</v>
      </c>
    </row>
    <row r="16" spans="1:11" ht="15" x14ac:dyDescent="0.4">
      <c r="A16" s="9" t="s">
        <v>87</v>
      </c>
      <c r="B16" s="10">
        <v>830</v>
      </c>
      <c r="C16" s="10">
        <v>905</v>
      </c>
      <c r="D16" s="10">
        <v>1097</v>
      </c>
      <c r="E16" s="10">
        <v>725</v>
      </c>
      <c r="F16" s="10">
        <v>874</v>
      </c>
      <c r="G16" s="10">
        <v>984</v>
      </c>
      <c r="H16" s="10">
        <v>1347</v>
      </c>
      <c r="I16" s="10">
        <v>1365</v>
      </c>
      <c r="J16" s="10">
        <v>1305</v>
      </c>
      <c r="K16" s="10">
        <v>1280</v>
      </c>
    </row>
    <row r="17" spans="1:11" ht="15" x14ac:dyDescent="0.4">
      <c r="A17" s="11" t="s">
        <v>88</v>
      </c>
      <c r="B17" s="13">
        <f t="shared" ref="B17:K17" si="4">B15-B16</f>
        <v>2014</v>
      </c>
      <c r="C17" s="13">
        <f t="shared" si="4"/>
        <v>2118</v>
      </c>
      <c r="D17" s="13">
        <f t="shared" si="4"/>
        <v>2419</v>
      </c>
      <c r="E17" s="13">
        <f t="shared" si="4"/>
        <v>2858</v>
      </c>
      <c r="F17" s="13">
        <f t="shared" si="4"/>
        <v>3402</v>
      </c>
      <c r="G17" s="13">
        <f t="shared" si="4"/>
        <v>3287</v>
      </c>
      <c r="H17" s="13">
        <f t="shared" si="4"/>
        <v>4297</v>
      </c>
      <c r="I17" s="13">
        <f t="shared" si="4"/>
        <v>5505</v>
      </c>
      <c r="J17" s="13">
        <f t="shared" si="4"/>
        <v>5000</v>
      </c>
      <c r="K17" s="13">
        <f t="shared" si="4"/>
        <v>5380</v>
      </c>
    </row>
    <row r="18" spans="1:11" ht="15" x14ac:dyDescent="0.4">
      <c r="A18" s="9" t="s">
        <v>89</v>
      </c>
      <c r="B18" s="14">
        <v>20.2</v>
      </c>
      <c r="C18" s="14">
        <v>21.3</v>
      </c>
      <c r="D18" s="14">
        <v>22.5</v>
      </c>
      <c r="E18" s="14">
        <v>28.2</v>
      </c>
      <c r="F18" s="14">
        <v>32.700000000000003</v>
      </c>
      <c r="G18" s="14">
        <v>32.200000000000003</v>
      </c>
      <c r="H18" s="14">
        <v>42.8</v>
      </c>
      <c r="I18" s="14">
        <v>56.9</v>
      </c>
      <c r="J18" s="14">
        <v>51.6</v>
      </c>
      <c r="K18" s="14">
        <v>55.1</v>
      </c>
    </row>
    <row r="19" spans="1:11" ht="21" customHeight="1" x14ac:dyDescent="0.35">
      <c r="A19" s="63" t="s">
        <v>90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</row>
    <row r="20" spans="1:11" ht="15" x14ac:dyDescent="0.4">
      <c r="A20" s="9" t="s">
        <v>91</v>
      </c>
      <c r="B20" s="10">
        <v>1200</v>
      </c>
      <c r="C20" s="10">
        <v>1350</v>
      </c>
      <c r="D20" s="10">
        <v>1500</v>
      </c>
      <c r="E20" s="10">
        <v>1600</v>
      </c>
      <c r="F20" s="10">
        <v>2100</v>
      </c>
      <c r="G20" s="10">
        <v>2400</v>
      </c>
      <c r="H20" s="10">
        <v>3100</v>
      </c>
      <c r="I20" s="10">
        <v>3800</v>
      </c>
      <c r="J20" s="10">
        <v>3950</v>
      </c>
      <c r="K20" s="10">
        <v>4100</v>
      </c>
    </row>
    <row r="21" spans="1:11" ht="15" x14ac:dyDescent="0.4">
      <c r="A21" s="9" t="s">
        <v>92</v>
      </c>
      <c r="B21" s="10">
        <v>1440</v>
      </c>
      <c r="C21" s="10">
        <v>1720</v>
      </c>
      <c r="D21" s="10">
        <v>1950</v>
      </c>
      <c r="E21" s="10">
        <v>1800</v>
      </c>
      <c r="F21" s="10">
        <v>2100</v>
      </c>
      <c r="G21" s="10">
        <v>3400</v>
      </c>
      <c r="H21" s="10">
        <v>4100</v>
      </c>
      <c r="I21" s="10">
        <v>4600</v>
      </c>
      <c r="J21" s="10">
        <v>4800</v>
      </c>
      <c r="K21" s="10">
        <v>4950</v>
      </c>
    </row>
    <row r="22" spans="1:11" ht="15" x14ac:dyDescent="0.4">
      <c r="A22" s="9" t="s">
        <v>93</v>
      </c>
      <c r="B22" s="10">
        <v>2600</v>
      </c>
      <c r="C22" s="10">
        <v>2900</v>
      </c>
      <c r="D22" s="10">
        <v>3150</v>
      </c>
      <c r="E22" s="10">
        <v>3400</v>
      </c>
      <c r="F22" s="10">
        <v>3800</v>
      </c>
      <c r="G22" s="10">
        <v>6150</v>
      </c>
      <c r="H22" s="10">
        <v>6200</v>
      </c>
      <c r="I22" s="10">
        <v>5200</v>
      </c>
      <c r="J22" s="10">
        <v>5450</v>
      </c>
      <c r="K22" s="10">
        <v>5700</v>
      </c>
    </row>
    <row r="23" spans="1:11" ht="15" x14ac:dyDescent="0.4">
      <c r="A23" s="9" t="s">
        <v>94</v>
      </c>
      <c r="B23" s="10">
        <v>800</v>
      </c>
      <c r="C23" s="10">
        <v>920</v>
      </c>
      <c r="D23" s="10">
        <v>1050</v>
      </c>
      <c r="E23" s="10">
        <v>1180</v>
      </c>
      <c r="F23" s="10">
        <v>1350</v>
      </c>
      <c r="G23" s="10">
        <v>1600</v>
      </c>
      <c r="H23" s="10">
        <v>1750</v>
      </c>
      <c r="I23" s="10">
        <v>1850</v>
      </c>
      <c r="J23" s="10">
        <v>1980</v>
      </c>
      <c r="K23" s="10">
        <v>2100</v>
      </c>
    </row>
    <row r="24" spans="1:11" ht="15" x14ac:dyDescent="0.4">
      <c r="A24" s="9" t="s">
        <v>95</v>
      </c>
      <c r="B24" s="10">
        <v>4000</v>
      </c>
      <c r="C24" s="10">
        <v>4300</v>
      </c>
      <c r="D24" s="10">
        <v>4700</v>
      </c>
      <c r="E24" s="10">
        <v>5100</v>
      </c>
      <c r="F24" s="10">
        <v>5250</v>
      </c>
      <c r="G24" s="10">
        <v>5600</v>
      </c>
      <c r="H24" s="10">
        <v>6200</v>
      </c>
      <c r="I24" s="10">
        <v>8200</v>
      </c>
      <c r="J24" s="10">
        <v>9200</v>
      </c>
      <c r="K24" s="10">
        <v>9800</v>
      </c>
    </row>
    <row r="25" spans="1:11" ht="15" x14ac:dyDescent="0.4">
      <c r="A25" s="9" t="s">
        <v>96</v>
      </c>
      <c r="B25" s="10">
        <v>1500</v>
      </c>
      <c r="C25" s="10">
        <v>1650</v>
      </c>
      <c r="D25" s="10">
        <v>1800</v>
      </c>
      <c r="E25" s="10">
        <v>2000</v>
      </c>
      <c r="F25" s="10">
        <v>2200</v>
      </c>
      <c r="G25" s="10">
        <v>2500</v>
      </c>
      <c r="H25" s="10">
        <v>3100</v>
      </c>
      <c r="I25" s="10">
        <v>3500</v>
      </c>
      <c r="J25" s="10">
        <v>3700</v>
      </c>
      <c r="K25" s="10">
        <v>3900</v>
      </c>
    </row>
    <row r="26" spans="1:11" ht="15" x14ac:dyDescent="0.4">
      <c r="A26" s="11" t="s">
        <v>97</v>
      </c>
      <c r="B26" s="13">
        <f t="shared" ref="B26:K26" si="5">SUM(B20:B25)</f>
        <v>11540</v>
      </c>
      <c r="C26" s="13">
        <f t="shared" si="5"/>
        <v>12840</v>
      </c>
      <c r="D26" s="13">
        <f t="shared" si="5"/>
        <v>14150</v>
      </c>
      <c r="E26" s="13">
        <f t="shared" si="5"/>
        <v>15080</v>
      </c>
      <c r="F26" s="13">
        <f t="shared" si="5"/>
        <v>16800</v>
      </c>
      <c r="G26" s="13">
        <f t="shared" si="5"/>
        <v>21650</v>
      </c>
      <c r="H26" s="13">
        <f t="shared" si="5"/>
        <v>24450</v>
      </c>
      <c r="I26" s="13">
        <f t="shared" si="5"/>
        <v>27150</v>
      </c>
      <c r="J26" s="13">
        <f t="shared" si="5"/>
        <v>29080</v>
      </c>
      <c r="K26" s="13">
        <f t="shared" si="5"/>
        <v>30550</v>
      </c>
    </row>
    <row r="27" spans="1:11" ht="15" x14ac:dyDescent="0.4">
      <c r="A27" s="9" t="s">
        <v>98</v>
      </c>
      <c r="B27" s="10">
        <v>2100</v>
      </c>
      <c r="C27" s="10">
        <v>2400</v>
      </c>
      <c r="D27" s="10">
        <v>2700</v>
      </c>
      <c r="E27" s="10">
        <v>2850</v>
      </c>
      <c r="F27" s="10">
        <v>3200</v>
      </c>
      <c r="G27" s="10">
        <v>4150</v>
      </c>
      <c r="H27" s="10">
        <v>4300</v>
      </c>
      <c r="I27" s="10">
        <v>4100</v>
      </c>
      <c r="J27" s="10">
        <v>4280</v>
      </c>
      <c r="K27" s="10">
        <v>4450</v>
      </c>
    </row>
    <row r="28" spans="1:11" ht="15" x14ac:dyDescent="0.4">
      <c r="A28" s="9" t="s">
        <v>99</v>
      </c>
      <c r="B28" s="15">
        <v>550</v>
      </c>
      <c r="C28" s="15">
        <v>600</v>
      </c>
      <c r="D28" s="15">
        <v>650</v>
      </c>
      <c r="E28" s="15">
        <v>750</v>
      </c>
      <c r="F28" s="15">
        <v>800</v>
      </c>
      <c r="G28" s="15">
        <v>1100</v>
      </c>
      <c r="H28" s="15">
        <v>1300</v>
      </c>
      <c r="I28" s="15">
        <v>1800</v>
      </c>
      <c r="J28" s="15">
        <v>1900</v>
      </c>
      <c r="K28" s="15">
        <v>1950</v>
      </c>
    </row>
    <row r="29" spans="1:11" ht="15" x14ac:dyDescent="0.4">
      <c r="A29" s="9" t="s">
        <v>100</v>
      </c>
      <c r="B29" s="10">
        <v>1200</v>
      </c>
      <c r="C29" s="10">
        <v>1350</v>
      </c>
      <c r="D29" s="10">
        <v>1450</v>
      </c>
      <c r="E29" s="10">
        <v>1600</v>
      </c>
      <c r="F29" s="10">
        <v>1850</v>
      </c>
      <c r="G29" s="10">
        <v>2100</v>
      </c>
      <c r="H29" s="10">
        <v>2350</v>
      </c>
      <c r="I29" s="10">
        <v>2400</v>
      </c>
      <c r="J29" s="10">
        <v>2550</v>
      </c>
      <c r="K29" s="10">
        <v>2650</v>
      </c>
    </row>
    <row r="30" spans="1:11" ht="15" x14ac:dyDescent="0.4">
      <c r="A30" s="11" t="s">
        <v>101</v>
      </c>
      <c r="B30" s="13">
        <f t="shared" ref="B30:K30" si="6">B26-B27-B28-B29</f>
        <v>7690</v>
      </c>
      <c r="C30" s="13">
        <f t="shared" si="6"/>
        <v>8490</v>
      </c>
      <c r="D30" s="13">
        <f t="shared" si="6"/>
        <v>9350</v>
      </c>
      <c r="E30" s="13">
        <f t="shared" si="6"/>
        <v>9880</v>
      </c>
      <c r="F30" s="13">
        <f t="shared" si="6"/>
        <v>10950</v>
      </c>
      <c r="G30" s="13">
        <f t="shared" si="6"/>
        <v>14300</v>
      </c>
      <c r="H30" s="13">
        <f t="shared" si="6"/>
        <v>16500</v>
      </c>
      <c r="I30" s="13">
        <f t="shared" si="6"/>
        <v>18850</v>
      </c>
      <c r="J30" s="13">
        <f t="shared" si="6"/>
        <v>20350</v>
      </c>
      <c r="K30" s="13">
        <f t="shared" si="6"/>
        <v>21500</v>
      </c>
    </row>
    <row r="31" spans="1:11" ht="15" x14ac:dyDescent="0.4">
      <c r="A31" s="11" t="s">
        <v>102</v>
      </c>
      <c r="B31" s="13">
        <f t="shared" ref="B31:K31" si="7">SUM(B27:B30)</f>
        <v>11540</v>
      </c>
      <c r="C31" s="13">
        <f t="shared" si="7"/>
        <v>12840</v>
      </c>
      <c r="D31" s="13">
        <f t="shared" si="7"/>
        <v>14150</v>
      </c>
      <c r="E31" s="13">
        <f t="shared" si="7"/>
        <v>15080</v>
      </c>
      <c r="F31" s="13">
        <f t="shared" si="7"/>
        <v>16800</v>
      </c>
      <c r="G31" s="13">
        <f t="shared" si="7"/>
        <v>21650</v>
      </c>
      <c r="H31" s="13">
        <f t="shared" si="7"/>
        <v>24450</v>
      </c>
      <c r="I31" s="13">
        <f t="shared" si="7"/>
        <v>27150</v>
      </c>
      <c r="J31" s="13">
        <f t="shared" si="7"/>
        <v>29080</v>
      </c>
      <c r="K31" s="13">
        <f t="shared" si="7"/>
        <v>30550</v>
      </c>
    </row>
    <row r="32" spans="1:11" ht="21" customHeight="1" x14ac:dyDescent="0.35">
      <c r="A32" s="63" t="s">
        <v>103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</row>
    <row r="33" spans="1:11" ht="15" x14ac:dyDescent="0.4">
      <c r="A33" s="9" t="s">
        <v>104</v>
      </c>
      <c r="B33" s="10">
        <v>2050</v>
      </c>
      <c r="C33" s="10">
        <v>2250</v>
      </c>
      <c r="D33" s="10">
        <v>2400</v>
      </c>
      <c r="E33" s="10">
        <v>3050</v>
      </c>
      <c r="F33" s="10">
        <v>3683</v>
      </c>
      <c r="G33" s="10">
        <v>2900</v>
      </c>
      <c r="H33" s="10">
        <v>4193</v>
      </c>
      <c r="I33" s="10">
        <v>5820</v>
      </c>
      <c r="J33" s="10">
        <v>5150</v>
      </c>
      <c r="K33" s="10">
        <v>5450</v>
      </c>
    </row>
    <row r="34" spans="1:11" ht="15" x14ac:dyDescent="0.4">
      <c r="A34" s="9" t="s">
        <v>105</v>
      </c>
      <c r="B34" s="10">
        <v>700</v>
      </c>
      <c r="C34" s="10">
        <v>900</v>
      </c>
      <c r="D34" s="10">
        <v>1100</v>
      </c>
      <c r="E34" s="10">
        <v>800</v>
      </c>
      <c r="F34" s="10">
        <v>400</v>
      </c>
      <c r="G34" s="10">
        <v>600</v>
      </c>
      <c r="H34" s="10">
        <v>1000</v>
      </c>
      <c r="I34" s="10">
        <v>1900</v>
      </c>
      <c r="J34" s="10">
        <v>2200</v>
      </c>
      <c r="K34" s="10">
        <v>2100</v>
      </c>
    </row>
    <row r="35" spans="1:11" ht="15" x14ac:dyDescent="0.4">
      <c r="A35" s="11" t="s">
        <v>106</v>
      </c>
      <c r="B35" s="13">
        <f t="shared" ref="B35:K35" si="8">B33-B34</f>
        <v>1350</v>
      </c>
      <c r="C35" s="13">
        <f t="shared" si="8"/>
        <v>1350</v>
      </c>
      <c r="D35" s="13">
        <f t="shared" si="8"/>
        <v>1300</v>
      </c>
      <c r="E35" s="13">
        <f t="shared" si="8"/>
        <v>2250</v>
      </c>
      <c r="F35" s="13">
        <f t="shared" si="8"/>
        <v>3283</v>
      </c>
      <c r="G35" s="13">
        <f t="shared" si="8"/>
        <v>2300</v>
      </c>
      <c r="H35" s="13">
        <f t="shared" si="8"/>
        <v>3193</v>
      </c>
      <c r="I35" s="13">
        <f t="shared" si="8"/>
        <v>3920</v>
      </c>
      <c r="J35" s="13">
        <f t="shared" si="8"/>
        <v>2950</v>
      </c>
      <c r="K35" s="13">
        <f t="shared" si="8"/>
        <v>3350</v>
      </c>
    </row>
    <row r="36" spans="1:11" ht="15" x14ac:dyDescent="0.4">
      <c r="A36" s="9" t="s">
        <v>107</v>
      </c>
      <c r="B36" s="10">
        <v>-850</v>
      </c>
      <c r="C36" s="10">
        <v>-1050</v>
      </c>
      <c r="D36" s="10">
        <v>-1250</v>
      </c>
      <c r="E36" s="10">
        <v>-1000</v>
      </c>
      <c r="F36" s="10">
        <v>-600</v>
      </c>
      <c r="G36" s="10">
        <v>-850</v>
      </c>
      <c r="H36" s="10">
        <v>-1450</v>
      </c>
      <c r="I36" s="10">
        <v>-2250</v>
      </c>
      <c r="J36" s="10">
        <v>-2400</v>
      </c>
      <c r="K36" s="10">
        <v>-2300</v>
      </c>
    </row>
    <row r="37" spans="1:11" ht="15" x14ac:dyDescent="0.4">
      <c r="A37" s="9" t="s">
        <v>108</v>
      </c>
      <c r="B37" s="10">
        <v>-1050</v>
      </c>
      <c r="C37" s="10">
        <v>-1050</v>
      </c>
      <c r="D37" s="10">
        <v>-1000</v>
      </c>
      <c r="E37" s="10">
        <v>-1950</v>
      </c>
      <c r="F37" s="10">
        <v>-2583</v>
      </c>
      <c r="G37" s="10">
        <v>-1750</v>
      </c>
      <c r="H37" s="10">
        <v>-2043</v>
      </c>
      <c r="I37" s="10">
        <v>-2870</v>
      </c>
      <c r="J37" s="10">
        <v>-2600</v>
      </c>
      <c r="K37" s="10">
        <v>-3000</v>
      </c>
    </row>
    <row r="38" spans="1:11" ht="15" x14ac:dyDescent="0.4">
      <c r="A38" s="11" t="s">
        <v>109</v>
      </c>
      <c r="B38" s="12">
        <f t="shared" ref="B38:K38" si="9">B33+B36+B37</f>
        <v>150</v>
      </c>
      <c r="C38" s="12">
        <f t="shared" si="9"/>
        <v>150</v>
      </c>
      <c r="D38" s="12">
        <f t="shared" si="9"/>
        <v>150</v>
      </c>
      <c r="E38" s="12">
        <f t="shared" si="9"/>
        <v>100</v>
      </c>
      <c r="F38" s="12">
        <f t="shared" si="9"/>
        <v>500</v>
      </c>
      <c r="G38" s="12">
        <f t="shared" si="9"/>
        <v>300</v>
      </c>
      <c r="H38" s="12">
        <f t="shared" si="9"/>
        <v>700</v>
      </c>
      <c r="I38" s="12">
        <f t="shared" si="9"/>
        <v>700</v>
      </c>
      <c r="J38" s="12">
        <f t="shared" si="9"/>
        <v>150</v>
      </c>
      <c r="K38" s="12">
        <f t="shared" si="9"/>
        <v>150</v>
      </c>
    </row>
  </sheetData>
  <mergeCells count="4">
    <mergeCell ref="A19:K19"/>
    <mergeCell ref="A1:K1"/>
    <mergeCell ref="A4:K4"/>
    <mergeCell ref="A32:K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"/>
  <sheetViews>
    <sheetView workbookViewId="0">
      <pane xSplit="1" ySplit="3" topLeftCell="B6" activePane="bottomRight" state="frozen"/>
      <selection pane="topRight"/>
      <selection pane="bottomLeft"/>
      <selection pane="bottomRight" sqref="A1:K1"/>
    </sheetView>
  </sheetViews>
  <sheetFormatPr defaultRowHeight="14.5" x14ac:dyDescent="0.35"/>
  <cols>
    <col min="1" max="1" width="42" customWidth="1"/>
    <col min="2" max="11" width="13" customWidth="1"/>
  </cols>
  <sheetData>
    <row r="1" spans="1:11" ht="24" customHeight="1" x14ac:dyDescent="0.35">
      <c r="A1" s="48" t="s">
        <v>110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3" spans="1:11" ht="20" customHeight="1" x14ac:dyDescent="0.4">
      <c r="A3" s="7" t="s">
        <v>111</v>
      </c>
      <c r="B3" s="8" t="s">
        <v>65</v>
      </c>
      <c r="C3" s="8" t="s">
        <v>66</v>
      </c>
      <c r="D3" s="8" t="s">
        <v>67</v>
      </c>
      <c r="E3" s="8" t="s">
        <v>68</v>
      </c>
      <c r="F3" s="8" t="s">
        <v>69</v>
      </c>
      <c r="G3" s="8" t="s">
        <v>70</v>
      </c>
      <c r="H3" s="8" t="s">
        <v>71</v>
      </c>
      <c r="I3" s="8" t="s">
        <v>72</v>
      </c>
      <c r="J3" s="8" t="s">
        <v>73</v>
      </c>
      <c r="K3" s="8" t="s">
        <v>74</v>
      </c>
    </row>
    <row r="4" spans="1:11" ht="21" customHeight="1" x14ac:dyDescent="0.35">
      <c r="A4" s="63" t="s">
        <v>112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ht="15" x14ac:dyDescent="0.4">
      <c r="A5" s="16" t="s">
        <v>113</v>
      </c>
      <c r="B5" s="17" t="s">
        <v>114</v>
      </c>
      <c r="C5" s="18">
        <f>('01_Financial_Statements'!C5/'01_Financial_Statements'!B5)-1</f>
        <v>0.11685035187890058</v>
      </c>
      <c r="D5" s="18">
        <f>('01_Financial_Statements'!D5/'01_Financial_Statements'!C5)-1</f>
        <v>0.14374034003091185</v>
      </c>
      <c r="E5" s="18">
        <f>('01_Financial_Statements'!E5/'01_Financial_Statements'!D5)-1</f>
        <v>5.0467775467775366E-2</v>
      </c>
      <c r="F5" s="18">
        <f>('01_Financial_Statements'!F5/'01_Financial_Statements'!E5)-1</f>
        <v>7.4315966552867208E-2</v>
      </c>
      <c r="G5" s="18">
        <f>('01_Financial_Statements'!G5/'01_Financial_Statements'!F5)-1</f>
        <v>0.34025698890065859</v>
      </c>
      <c r="H5" s="18">
        <f>('01_Financial_Statements'!H5/'01_Financial_Statements'!G5)-1</f>
        <v>0.18514827669152267</v>
      </c>
      <c r="I5" s="18">
        <f>('01_Financial_Statements'!I5/'01_Financial_Statements'!H5)-1</f>
        <v>2.9168720461596465E-2</v>
      </c>
      <c r="J5" s="18">
        <f>('01_Financial_Statements'!J5/'01_Financial_Statements'!I5)-1</f>
        <v>1.9861952387660198E-2</v>
      </c>
      <c r="K5" s="18">
        <f>('01_Financial_Statements'!K5/'01_Financial_Statements'!J5)-1</f>
        <v>5.3867403314917128E-2</v>
      </c>
    </row>
    <row r="6" spans="1:11" ht="15" x14ac:dyDescent="0.4">
      <c r="A6" s="16" t="s">
        <v>115</v>
      </c>
      <c r="B6" s="17" t="s">
        <v>114</v>
      </c>
      <c r="C6" s="18">
        <f>('01_Financial_Statements'!C10/'01_Financial_Statements'!B10)-1</f>
        <v>7.0639437562771912E-2</v>
      </c>
      <c r="D6" s="18">
        <f>('01_Financial_Statements'!D10/'01_Financial_Statements'!C10)-1</f>
        <v>0.17729831144465291</v>
      </c>
      <c r="E6" s="18">
        <f>('01_Financial_Statements'!E10/'01_Financial_Statements'!D10)-1</f>
        <v>0.10544488711819389</v>
      </c>
      <c r="F6" s="18">
        <f>('01_Financial_Statements'!F10/'01_Financial_Statements'!E10)-1</f>
        <v>0.16674675636713121</v>
      </c>
      <c r="G6" s="18">
        <f>('01_Financial_Statements'!G10/'01_Financial_Statements'!F10)-1</f>
        <v>-1.0914332784184522E-2</v>
      </c>
      <c r="H6" s="18">
        <f>('01_Financial_Statements'!H10/'01_Financial_Statements'!G10)-1</f>
        <v>0.30335207162190292</v>
      </c>
      <c r="I6" s="18">
        <f>('01_Financial_Statements'!I10/'01_Financial_Statements'!H10)-1</f>
        <v>0.17731629392971238</v>
      </c>
      <c r="J6" s="18">
        <f>('01_Financial_Statements'!J10/'01_Financial_Statements'!I10)-1</f>
        <v>-7.0556309362279523E-2</v>
      </c>
      <c r="K6" s="18">
        <f>('01_Financial_Statements'!K10/'01_Financial_Statements'!J10)-1</f>
        <v>5.8394160583941535E-2</v>
      </c>
    </row>
    <row r="7" spans="1:11" ht="15" x14ac:dyDescent="0.4">
      <c r="A7" s="16" t="s">
        <v>116</v>
      </c>
      <c r="B7" s="17" t="s">
        <v>114</v>
      </c>
      <c r="C7" s="18">
        <f>('01_Financial_Statements'!C17/'01_Financial_Statements'!B17)-1</f>
        <v>5.1638530287984041E-2</v>
      </c>
      <c r="D7" s="18">
        <f>('01_Financial_Statements'!D17/'01_Financial_Statements'!C17)-1</f>
        <v>0.14211520302171854</v>
      </c>
      <c r="E7" s="18">
        <f>('01_Financial_Statements'!E17/'01_Financial_Statements'!D17)-1</f>
        <v>0.18147995039272424</v>
      </c>
      <c r="F7" s="18">
        <f>('01_Financial_Statements'!F17/'01_Financial_Statements'!E17)-1</f>
        <v>0.19034289713086072</v>
      </c>
      <c r="G7" s="18">
        <f>('01_Financial_Statements'!G17/'01_Financial_Statements'!F17)-1</f>
        <v>-3.380364491475607E-2</v>
      </c>
      <c r="H7" s="18">
        <f>('01_Financial_Statements'!H17/'01_Financial_Statements'!G17)-1</f>
        <v>0.30727106784301794</v>
      </c>
      <c r="I7" s="18">
        <f>('01_Financial_Statements'!I17/'01_Financial_Statements'!H17)-1</f>
        <v>0.28112636723295314</v>
      </c>
      <c r="J7" s="18">
        <f>('01_Financial_Statements'!J17/'01_Financial_Statements'!I17)-1</f>
        <v>-9.1734786557674863E-2</v>
      </c>
      <c r="K7" s="18">
        <f>('01_Financial_Statements'!K17/'01_Financial_Statements'!J17)-1</f>
        <v>7.6000000000000068E-2</v>
      </c>
    </row>
    <row r="9" spans="1:11" ht="21" customHeight="1" x14ac:dyDescent="0.35">
      <c r="A9" s="63" t="s">
        <v>117</v>
      </c>
      <c r="B9" s="43"/>
      <c r="C9" s="43"/>
      <c r="D9" s="43"/>
      <c r="E9" s="43"/>
      <c r="F9" s="43"/>
      <c r="G9" s="43"/>
      <c r="H9" s="43"/>
      <c r="I9" s="43"/>
      <c r="J9" s="43"/>
      <c r="K9" s="43"/>
    </row>
    <row r="10" spans="1:11" ht="15" x14ac:dyDescent="0.4">
      <c r="A10" s="16" t="s">
        <v>118</v>
      </c>
      <c r="B10" s="18">
        <f>'01_Financial_Statements'!B7/'01_Financial_Statements'!B5</f>
        <v>0.5252954454919665</v>
      </c>
      <c r="C10" s="18">
        <f>'01_Financial_Statements'!C7/'01_Financial_Statements'!C5</f>
        <v>0.5184876946855308</v>
      </c>
      <c r="D10" s="18">
        <f>'01_Financial_Statements'!D7/'01_Financial_Statements'!D5</f>
        <v>0.51663201663201663</v>
      </c>
      <c r="E10" s="18">
        <f>'01_Financial_Statements'!E7/'01_Financial_Statements'!E5</f>
        <v>0.52748503290287463</v>
      </c>
      <c r="F10" s="18">
        <f>'01_Financial_Statements'!F7/'01_Financial_Statements'!F5</f>
        <v>0.50490489568461294</v>
      </c>
      <c r="G10" s="18">
        <f>'01_Financial_Statements'!G7/'01_Financial_Statements'!G5</f>
        <v>0.44159994501907152</v>
      </c>
      <c r="H10" s="18">
        <f>'01_Financial_Statements'!H7/'01_Financial_Statements'!H5</f>
        <v>0.4577981385369248</v>
      </c>
      <c r="I10" s="18">
        <f>'01_Financial_Statements'!I7/'01_Financial_Statements'!I5</f>
        <v>0.50838146217777147</v>
      </c>
      <c r="J10" s="18">
        <f>'01_Financial_Statements'!J7/'01_Financial_Statements'!J5</f>
        <v>0.5</v>
      </c>
      <c r="K10" s="18">
        <f>'01_Financial_Statements'!K7/'01_Financial_Statements'!K5</f>
        <v>0.50065530799475755</v>
      </c>
    </row>
    <row r="11" spans="1:11" ht="15" x14ac:dyDescent="0.4">
      <c r="A11" s="16" t="s">
        <v>119</v>
      </c>
      <c r="B11" s="19">
        <f>'01_Financial_Statements'!B10/'01_Financial_Statements'!B5</f>
        <v>0.19831363696720222</v>
      </c>
      <c r="C11" s="19">
        <f>'01_Financial_Statements'!C10/'01_Financial_Statements'!C5</f>
        <v>0.1901081916537867</v>
      </c>
      <c r="D11" s="19">
        <f>'01_Financial_Statements'!D10/'01_Financial_Statements'!D5</f>
        <v>0.19568607068607069</v>
      </c>
      <c r="E11" s="19">
        <f>'01_Financial_Statements'!E10/'01_Financial_Statements'!E5</f>
        <v>0.20592746524170005</v>
      </c>
      <c r="F11" s="19">
        <f>'01_Financial_Statements'!F10/'01_Financial_Statements'!F5</f>
        <v>0.22364482107493208</v>
      </c>
      <c r="G11" s="19">
        <f>'01_Financial_Statements'!G10/'01_Financial_Statements'!G5</f>
        <v>0.16504587471220919</v>
      </c>
      <c r="H11" s="19">
        <f>'01_Financial_Statements'!H10/'01_Financial_Statements'!H5</f>
        <v>0.18150714720635566</v>
      </c>
      <c r="I11" s="19">
        <f>'01_Financial_Statements'!I10/'01_Financial_Statements'!I5</f>
        <v>0.20763487815185239</v>
      </c>
      <c r="J11" s="19">
        <f>'01_Financial_Statements'!J10/'01_Financial_Statements'!J5</f>
        <v>0.18922651933701656</v>
      </c>
      <c r="K11" s="19">
        <f>'01_Financial_Statements'!K10/'01_Financial_Statements'!K5</f>
        <v>0.19003931847968544</v>
      </c>
    </row>
    <row r="12" spans="1:11" ht="15" x14ac:dyDescent="0.4">
      <c r="A12" s="16" t="s">
        <v>120</v>
      </c>
      <c r="B12" s="18">
        <f>'01_Financial_Statements'!B12/'01_Financial_Statements'!B5</f>
        <v>0.17587305802682246</v>
      </c>
      <c r="C12" s="18">
        <f>'01_Financial_Statements'!C12/'01_Financial_Statements'!C5</f>
        <v>0.16864819878730233</v>
      </c>
      <c r="D12" s="18">
        <f>'01_Financial_Statements'!D12/'01_Financial_Statements'!D5</f>
        <v>0.17328482328482328</v>
      </c>
      <c r="E12" s="18">
        <f>'01_Financial_Statements'!E12/'01_Financial_Statements'!E5</f>
        <v>0.16728514175449014</v>
      </c>
      <c r="F12" s="18">
        <f>'01_Financial_Statements'!F12/'01_Financial_Statements'!F5</f>
        <v>0.18721503246902776</v>
      </c>
      <c r="G12" s="18">
        <f>'01_Financial_Statements'!G12/'01_Financial_Statements'!G5</f>
        <v>0.13700560118208996</v>
      </c>
      <c r="H12" s="18">
        <f>'01_Financial_Statements'!H12/'01_Financial_Statements'!H5</f>
        <v>0.15662965003334398</v>
      </c>
      <c r="I12" s="18">
        <f>'01_Financial_Statements'!I12/'01_Financial_Statements'!I5</f>
        <v>0.18199746443161008</v>
      </c>
      <c r="J12" s="18">
        <f>'01_Financial_Statements'!J12/'01_Financial_Statements'!J5</f>
        <v>0.1621546961325967</v>
      </c>
      <c r="K12" s="18">
        <f>'01_Financial_Statements'!K12/'01_Financial_Statements'!K5</f>
        <v>0.16251638269986893</v>
      </c>
    </row>
    <row r="13" spans="1:11" ht="15" x14ac:dyDescent="0.4">
      <c r="A13" s="16" t="s">
        <v>121</v>
      </c>
      <c r="B13" s="18">
        <f>'01_Financial_Statements'!B17/'01_Financial_Statements'!B5</f>
        <v>0.13371398220687825</v>
      </c>
      <c r="C13" s="18">
        <f>'01_Financial_Statements'!C17/'01_Financial_Statements'!C5</f>
        <v>0.12590655094519082</v>
      </c>
      <c r="D13" s="18">
        <f>'01_Financial_Statements'!D17/'01_Financial_Statements'!D5</f>
        <v>0.12572765072765071</v>
      </c>
      <c r="E13" s="18">
        <f>'01_Financial_Statements'!E17/'01_Financial_Statements'!E5</f>
        <v>0.14140814407995647</v>
      </c>
      <c r="F13" s="18">
        <f>'01_Financial_Statements'!F17/'01_Financial_Statements'!F5</f>
        <v>0.15668032975636714</v>
      </c>
      <c r="G13" s="18">
        <f>'01_Financial_Statements'!G17/'01_Financial_Statements'!G5</f>
        <v>0.11295144496752689</v>
      </c>
      <c r="H13" s="18">
        <f>'01_Financial_Statements'!H17/'01_Financial_Statements'!H5</f>
        <v>0.1245904491287077</v>
      </c>
      <c r="I13" s="18">
        <f>'01_Financial_Statements'!I17/'01_Financial_Statements'!I5</f>
        <v>0.15509226651641075</v>
      </c>
      <c r="J13" s="18">
        <f>'01_Financial_Statements'!J17/'01_Financial_Statements'!J5</f>
        <v>0.13812154696132597</v>
      </c>
      <c r="K13" s="18">
        <f>'01_Financial_Statements'!K17/'01_Financial_Statements'!K5</f>
        <v>0.14102228047182175</v>
      </c>
    </row>
    <row r="15" spans="1:11" ht="21" customHeight="1" x14ac:dyDescent="0.35">
      <c r="A15" s="63" t="s">
        <v>122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</row>
    <row r="16" spans="1:11" ht="15" x14ac:dyDescent="0.4">
      <c r="A16" s="67" t="s">
        <v>123</v>
      </c>
      <c r="B16" s="43"/>
      <c r="C16" s="43"/>
      <c r="D16" s="20">
        <f>('01_Financial_Statements'!K5/'01_Financial_Statements'!B5)^(1/9)-1</f>
        <v>0.10878097770985073</v>
      </c>
    </row>
    <row r="17" spans="1:4" ht="15" x14ac:dyDescent="0.4">
      <c r="A17" s="67" t="s">
        <v>124</v>
      </c>
      <c r="B17" s="43"/>
      <c r="C17" s="43"/>
      <c r="D17" s="20">
        <f>('01_Financial_Statements'!K10/'01_Financial_Statements'!B10)^(1/9)-1</f>
        <v>0.10354284228196597</v>
      </c>
    </row>
    <row r="18" spans="1:4" ht="15" x14ac:dyDescent="0.4">
      <c r="A18" s="67" t="s">
        <v>125</v>
      </c>
      <c r="B18" s="43"/>
      <c r="C18" s="43"/>
      <c r="D18" s="20">
        <f>('01_Financial_Statements'!K17/'01_Financial_Statements'!B17)^(1/9)-1</f>
        <v>0.11535635340754635</v>
      </c>
    </row>
  </sheetData>
  <mergeCells count="7">
    <mergeCell ref="A1:K1"/>
    <mergeCell ref="A16:C16"/>
    <mergeCell ref="A9:K9"/>
    <mergeCell ref="A4:K4"/>
    <mergeCell ref="A15:K15"/>
    <mergeCell ref="A17:C17"/>
    <mergeCell ref="A18:C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1" ySplit="3" topLeftCell="B26" activePane="bottomRight" state="frozen"/>
      <selection pane="topRight"/>
      <selection pane="bottomLeft"/>
      <selection pane="bottomRight" activeCell="L30" sqref="L30"/>
    </sheetView>
  </sheetViews>
  <sheetFormatPr defaultRowHeight="14.5" x14ac:dyDescent="0.35"/>
  <cols>
    <col min="1" max="1" width="44" customWidth="1"/>
    <col min="2" max="11" width="12.453125" customWidth="1"/>
    <col min="12" max="12" width="14.453125" customWidth="1"/>
    <col min="13" max="13" width="25" customWidth="1"/>
  </cols>
  <sheetData>
    <row r="1" spans="1:13" ht="24" customHeight="1" x14ac:dyDescent="0.35">
      <c r="A1" s="48" t="s">
        <v>126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18" customHeight="1" x14ac:dyDescent="0.35">
      <c r="A2" s="65" t="s">
        <v>127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ht="20" customHeight="1" x14ac:dyDescent="0.4">
      <c r="A3" s="7" t="s">
        <v>128</v>
      </c>
      <c r="B3" s="8" t="s">
        <v>65</v>
      </c>
      <c r="C3" s="8" t="s">
        <v>66</v>
      </c>
      <c r="D3" s="8" t="s">
        <v>67</v>
      </c>
      <c r="E3" s="8" t="s">
        <v>68</v>
      </c>
      <c r="F3" s="8" t="s">
        <v>69</v>
      </c>
      <c r="G3" s="8" t="s">
        <v>70</v>
      </c>
      <c r="H3" s="8" t="s">
        <v>71</v>
      </c>
      <c r="I3" s="8" t="s">
        <v>72</v>
      </c>
      <c r="J3" s="8" t="s">
        <v>73</v>
      </c>
      <c r="K3" s="8" t="s">
        <v>74</v>
      </c>
      <c r="L3" s="21" t="s">
        <v>129</v>
      </c>
      <c r="M3" s="2" t="s">
        <v>130</v>
      </c>
    </row>
    <row r="4" spans="1:13" ht="21" customHeight="1" x14ac:dyDescent="0.35">
      <c r="A4" s="63" t="s">
        <v>131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</row>
    <row r="5" spans="1:13" ht="20" customHeight="1" x14ac:dyDescent="0.4">
      <c r="A5" s="16" t="s">
        <v>132</v>
      </c>
      <c r="B5" s="22">
        <f>'01_Financial_Statements'!B33/'01_Financial_Statements'!B17</f>
        <v>1.0178748758689176</v>
      </c>
      <c r="C5" s="22">
        <f>'01_Financial_Statements'!C33/'01_Financial_Statements'!C17</f>
        <v>1.0623229461756374</v>
      </c>
      <c r="D5" s="22">
        <f>'01_Financial_Statements'!D33/'01_Financial_Statements'!D17</f>
        <v>0.99214551467548573</v>
      </c>
      <c r="E5" s="22">
        <f>'01_Financial_Statements'!E33/'01_Financial_Statements'!E17</f>
        <v>1.0671798460461861</v>
      </c>
      <c r="F5" s="22">
        <f>'01_Financial_Statements'!F33/'01_Financial_Statements'!F17</f>
        <v>1.0825984714873604</v>
      </c>
      <c r="G5" s="22">
        <f>'01_Financial_Statements'!G33/'01_Financial_Statements'!G17</f>
        <v>0.88226346212351692</v>
      </c>
      <c r="H5" s="22">
        <f>'01_Financial_Statements'!H33/'01_Financial_Statements'!H17</f>
        <v>0.9757970677216663</v>
      </c>
      <c r="I5" s="22">
        <f>'01_Financial_Statements'!I33/'01_Financial_Statements'!I17</f>
        <v>1.0572207084468666</v>
      </c>
      <c r="J5" s="22">
        <f>'01_Financial_Statements'!J33/'01_Financial_Statements'!J17</f>
        <v>1.03</v>
      </c>
      <c r="K5" s="22">
        <f>'01_Financial_Statements'!K33/'01_Financial_Statements'!K17</f>
        <v>1.013011152416357</v>
      </c>
      <c r="L5" s="22">
        <f>AVERAGE(B5:K5)</f>
        <v>1.0180414044961994</v>
      </c>
      <c r="M5" s="23" t="str">
        <f>IF(L5&gt;=1,"PASS: HIGH CASH REALIZATION",IF(L5&gt;=0.85,"ACCEPTABLE", "WATCH: DILUTION"))</f>
        <v>PASS: HIGH CASH REALIZATION</v>
      </c>
    </row>
    <row r="6" spans="1:13" ht="20" customHeight="1" x14ac:dyDescent="0.4">
      <c r="A6" s="9" t="s">
        <v>133</v>
      </c>
      <c r="B6" s="24">
        <f>'01_Financial_Statements'!B35/'01_Financial_Statements'!B17</f>
        <v>0.6703078450844091</v>
      </c>
      <c r="C6" s="24">
        <f>'01_Financial_Statements'!C35/'01_Financial_Statements'!C17</f>
        <v>0.63739376770538247</v>
      </c>
      <c r="D6" s="24">
        <f>'01_Financial_Statements'!D35/'01_Financial_Statements'!D17</f>
        <v>0.5374121537825548</v>
      </c>
      <c r="E6" s="24">
        <f>'01_Financial_Statements'!E35/'01_Financial_Statements'!E17</f>
        <v>0.78726382085374391</v>
      </c>
      <c r="F6" s="24">
        <f>'01_Financial_Statements'!F35/'01_Financial_Statements'!F17</f>
        <v>0.96502057613168724</v>
      </c>
      <c r="G6" s="24">
        <f>'01_Financial_Statements'!G35/'01_Financial_Statements'!G17</f>
        <v>0.69972619409796166</v>
      </c>
      <c r="H6" s="24">
        <f>'01_Financial_Statements'!H35/'01_Financial_Statements'!H17</f>
        <v>0.74307656504538044</v>
      </c>
      <c r="I6" s="24">
        <f>'01_Financial_Statements'!I35/'01_Financial_Statements'!I17</f>
        <v>0.71207992733878289</v>
      </c>
      <c r="J6" s="24">
        <f>'01_Financial_Statements'!J35/'01_Financial_Statements'!J17</f>
        <v>0.59</v>
      </c>
      <c r="K6" s="24">
        <f>'01_Financial_Statements'!K35/'01_Financial_Statements'!K17</f>
        <v>0.62267657992565051</v>
      </c>
      <c r="L6" s="22">
        <f>AVERAGE(B6:K6)</f>
        <v>0.69649574299655526</v>
      </c>
      <c r="M6" s="23" t="str">
        <f>IF(L6&gt;=0.6,"PASS: ROBUST FCF","WATCH: CAPEX BURDEN")</f>
        <v>PASS: ROBUST FCF</v>
      </c>
    </row>
    <row r="7" spans="1:13" ht="20" customHeight="1" x14ac:dyDescent="0.4">
      <c r="A7" s="9" t="s">
        <v>134</v>
      </c>
      <c r="B7" s="24">
        <f>'01_Financial_Statements'!B33/'01_Financial_Statements'!B10</f>
        <v>0.68630733177100767</v>
      </c>
      <c r="C7" s="24">
        <f>'01_Financial_Statements'!C33/'01_Financial_Statements'!C10</f>
        <v>0.70356472795497182</v>
      </c>
      <c r="D7" s="24">
        <f>'01_Financial_Statements'!D33/'01_Financial_Statements'!D10</f>
        <v>0.63745019920318724</v>
      </c>
      <c r="E7" s="24">
        <f>'01_Financial_Statements'!E33/'01_Financial_Statements'!E10</f>
        <v>0.73282075925036039</v>
      </c>
      <c r="F7" s="24">
        <f>'01_Financial_Statements'!F33/'01_Financial_Statements'!F10</f>
        <v>0.75844316309719939</v>
      </c>
      <c r="G7" s="24">
        <f>'01_Financial_Statements'!G33/'01_Financial_Statements'!G10</f>
        <v>0.60378929835519468</v>
      </c>
      <c r="H7" s="24">
        <f>'01_Financial_Statements'!H33/'01_Financial_Statements'!H10</f>
        <v>0.66980830670926517</v>
      </c>
      <c r="I7" s="24">
        <f>'01_Financial_Statements'!I33/'01_Financial_Statements'!I10</f>
        <v>0.78968792401628218</v>
      </c>
      <c r="J7" s="24">
        <f>'01_Financial_Statements'!J33/'01_Financial_Statements'!J10</f>
        <v>0.75182481751824815</v>
      </c>
      <c r="K7" s="24">
        <f>'01_Financial_Statements'!K33/'01_Financial_Statements'!K10</f>
        <v>0.75172413793103443</v>
      </c>
      <c r="L7" s="22">
        <f>AVERAGE(B7:K7)</f>
        <v>0.70854206658067509</v>
      </c>
      <c r="M7" s="23" t="str">
        <f>IF(L7&gt;=0.75,"PASS: CLEAN CASH EBITDA","WATCH")</f>
        <v>WATCH</v>
      </c>
    </row>
    <row r="8" spans="1:13" ht="20" customHeight="1" x14ac:dyDescent="0.4">
      <c r="A8" s="9" t="s">
        <v>135</v>
      </c>
      <c r="B8" s="24">
        <f>'01_Financial_Statements'!B35/'01_Financial_Statements'!B10</f>
        <v>0.45195848677602946</v>
      </c>
      <c r="C8" s="24">
        <f>'01_Financial_Statements'!C35/'01_Financial_Statements'!C10</f>
        <v>0.42213883677298314</v>
      </c>
      <c r="D8" s="24">
        <f>'01_Financial_Statements'!D35/'01_Financial_Statements'!D10</f>
        <v>0.34528552456839312</v>
      </c>
      <c r="E8" s="24">
        <f>'01_Financial_Statements'!E35/'01_Financial_Statements'!E10</f>
        <v>0.54060547813551174</v>
      </c>
      <c r="F8" s="24">
        <f>'01_Financial_Statements'!F35/'01_Financial_Statements'!F10</f>
        <v>0.67607084019769359</v>
      </c>
      <c r="G8" s="24">
        <f>'01_Financial_Statements'!G35/'01_Financial_Statements'!G10</f>
        <v>0.47886737455756817</v>
      </c>
      <c r="H8" s="24">
        <f>'01_Financial_Statements'!H35/'01_Financial_Statements'!H10</f>
        <v>0.5100638977635783</v>
      </c>
      <c r="I8" s="24">
        <f>'01_Financial_Statements'!I35/'01_Financial_Statements'!I10</f>
        <v>0.53188602442333788</v>
      </c>
      <c r="J8" s="24">
        <f>'01_Financial_Statements'!J35/'01_Financial_Statements'!J10</f>
        <v>0.43065693430656932</v>
      </c>
      <c r="K8" s="24">
        <f>'01_Financial_Statements'!K35/'01_Financial_Statements'!K10</f>
        <v>0.46206896551724136</v>
      </c>
      <c r="L8" s="22">
        <f>AVERAGE(B8:K8)</f>
        <v>0.48496023630189056</v>
      </c>
      <c r="M8" s="23" t="str">
        <f>IF(L8&gt;=0.45,"PASS: SOUND EXPANSION","WATCH")</f>
        <v>PASS: SOUND EXPANSION</v>
      </c>
    </row>
    <row r="9" spans="1:13" ht="20" customHeight="1" x14ac:dyDescent="0.4">
      <c r="A9" s="9" t="s">
        <v>136</v>
      </c>
      <c r="B9" s="18">
        <f>'01_Financial_Statements'!B33/'01_Financial_Statements'!B5</f>
        <v>0.13610410304076484</v>
      </c>
      <c r="C9" s="18">
        <f>'01_Financial_Statements'!C33/'01_Financial_Statements'!C5</f>
        <v>0.13375341814290809</v>
      </c>
      <c r="D9" s="18">
        <f>'01_Financial_Statements'!D33/'01_Financial_Statements'!D5</f>
        <v>0.12474012474012475</v>
      </c>
      <c r="E9" s="18">
        <f>'01_Financial_Statements'!E33/'01_Financial_Statements'!E5</f>
        <v>0.15090792142892484</v>
      </c>
      <c r="F9" s="18">
        <f>'01_Financial_Statements'!F33/'01_Financial_Statements'!F5</f>
        <v>0.16962188550637866</v>
      </c>
      <c r="G9" s="18">
        <f>'01_Financial_Statements'!G33/'01_Financial_Statements'!G5</f>
        <v>9.9652932888904158E-2</v>
      </c>
      <c r="H9" s="18">
        <f>'01_Financial_Statements'!H33/'01_Financial_Statements'!H5</f>
        <v>0.1215749949259184</v>
      </c>
      <c r="I9" s="18">
        <f>'01_Financial_Statements'!I33/'01_Financial_Statements'!I5</f>
        <v>0.16396675588111001</v>
      </c>
      <c r="J9" s="18">
        <f>'01_Financial_Statements'!J33/'01_Financial_Statements'!J5</f>
        <v>0.14226519337016574</v>
      </c>
      <c r="K9" s="18">
        <f>'01_Financial_Statements'!K33/'01_Financial_Statements'!K5</f>
        <v>0.14285714285714285</v>
      </c>
      <c r="L9" s="20">
        <f>AVERAGE(B9:K9)</f>
        <v>0.13854444727823423</v>
      </c>
      <c r="M9" s="23" t="str">
        <f>IF(L9&gt;=0.13,"PASS: DOUBLE DIGIT OCF MARGIN","WATCH")</f>
        <v>PASS: DOUBLE DIGIT OCF MARGIN</v>
      </c>
    </row>
    <row r="11" spans="1:13" ht="21" customHeight="1" x14ac:dyDescent="0.35">
      <c r="A11" s="63" t="s">
        <v>137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</row>
    <row r="12" spans="1:13" ht="20" customHeight="1" x14ac:dyDescent="0.4">
      <c r="A12" s="9" t="s">
        <v>138</v>
      </c>
      <c r="B12" s="25">
        <f>'01_Financial_Statements'!B17</f>
        <v>2014</v>
      </c>
      <c r="C12" s="25">
        <f>'01_Financial_Statements'!C17</f>
        <v>2118</v>
      </c>
      <c r="D12" s="25">
        <f>'01_Financial_Statements'!D17</f>
        <v>2419</v>
      </c>
      <c r="E12" s="25">
        <f>'01_Financial_Statements'!E17</f>
        <v>2858</v>
      </c>
      <c r="F12" s="25">
        <f>'01_Financial_Statements'!F17</f>
        <v>3402</v>
      </c>
      <c r="G12" s="25">
        <f>'01_Financial_Statements'!G17</f>
        <v>3287</v>
      </c>
      <c r="H12" s="25">
        <f>'01_Financial_Statements'!H17</f>
        <v>4297</v>
      </c>
      <c r="I12" s="25">
        <f>'01_Financial_Statements'!I17</f>
        <v>5505</v>
      </c>
      <c r="J12" s="25">
        <f>'01_Financial_Statements'!J17</f>
        <v>5000</v>
      </c>
      <c r="K12" s="25">
        <f>'01_Financial_Statements'!K17</f>
        <v>5380</v>
      </c>
      <c r="L12" s="26">
        <f>AVERAGE(B12:K12)</f>
        <v>3628</v>
      </c>
      <c r="M12" s="4"/>
    </row>
    <row r="13" spans="1:13" ht="20" customHeight="1" x14ac:dyDescent="0.4">
      <c r="A13" s="9" t="s">
        <v>104</v>
      </c>
      <c r="B13" s="25">
        <f>'01_Financial_Statements'!B33</f>
        <v>2050</v>
      </c>
      <c r="C13" s="25">
        <f>'01_Financial_Statements'!C33</f>
        <v>2250</v>
      </c>
      <c r="D13" s="25">
        <f>'01_Financial_Statements'!D33</f>
        <v>2400</v>
      </c>
      <c r="E13" s="25">
        <f>'01_Financial_Statements'!E33</f>
        <v>3050</v>
      </c>
      <c r="F13" s="25">
        <f>'01_Financial_Statements'!F33</f>
        <v>3683</v>
      </c>
      <c r="G13" s="25">
        <f>'01_Financial_Statements'!G33</f>
        <v>2900</v>
      </c>
      <c r="H13" s="25">
        <f>'01_Financial_Statements'!H33</f>
        <v>4193</v>
      </c>
      <c r="I13" s="25">
        <f>'01_Financial_Statements'!I33</f>
        <v>5820</v>
      </c>
      <c r="J13" s="25">
        <f>'01_Financial_Statements'!J33</f>
        <v>5150</v>
      </c>
      <c r="K13" s="25">
        <f>'01_Financial_Statements'!K33</f>
        <v>5450</v>
      </c>
      <c r="L13" s="26">
        <f>AVERAGE(B13:K13)</f>
        <v>3694.6</v>
      </c>
      <c r="M13" s="4"/>
    </row>
    <row r="14" spans="1:13" ht="20" customHeight="1" x14ac:dyDescent="0.4">
      <c r="A14" s="16" t="s">
        <v>139</v>
      </c>
      <c r="B14" s="25">
        <f t="shared" ref="B14:K14" si="0">B12-B13</f>
        <v>-36</v>
      </c>
      <c r="C14" s="25">
        <f t="shared" si="0"/>
        <v>-132</v>
      </c>
      <c r="D14" s="25">
        <f t="shared" si="0"/>
        <v>19</v>
      </c>
      <c r="E14" s="25">
        <f t="shared" si="0"/>
        <v>-192</v>
      </c>
      <c r="F14" s="25">
        <f t="shared" si="0"/>
        <v>-281</v>
      </c>
      <c r="G14" s="25">
        <f t="shared" si="0"/>
        <v>387</v>
      </c>
      <c r="H14" s="25">
        <f t="shared" si="0"/>
        <v>104</v>
      </c>
      <c r="I14" s="25">
        <f t="shared" si="0"/>
        <v>-315</v>
      </c>
      <c r="J14" s="25">
        <f t="shared" si="0"/>
        <v>-150</v>
      </c>
      <c r="K14" s="25">
        <f t="shared" si="0"/>
        <v>-70</v>
      </c>
      <c r="L14" s="26">
        <f>AVERAGE(B14:K14)</f>
        <v>-66.599999999999994</v>
      </c>
      <c r="M14" s="4"/>
    </row>
    <row r="15" spans="1:13" ht="20" customHeight="1" x14ac:dyDescent="0.4">
      <c r="A15" s="16" t="s">
        <v>140</v>
      </c>
      <c r="B15" s="25">
        <f>'01_Financial_Statements'!B26</f>
        <v>11540</v>
      </c>
      <c r="C15" s="25">
        <f>AVERAGE('01_Financial_Statements'!B26:'01_Financial_Statements'!C26)</f>
        <v>12190</v>
      </c>
      <c r="D15" s="25">
        <f>AVERAGE('01_Financial_Statements'!C26:'01_Financial_Statements'!D26)</f>
        <v>13495</v>
      </c>
      <c r="E15" s="25">
        <f>AVERAGE('01_Financial_Statements'!D26:'01_Financial_Statements'!E26)</f>
        <v>14615</v>
      </c>
      <c r="F15" s="25">
        <f>AVERAGE('01_Financial_Statements'!E26:'01_Financial_Statements'!F26)</f>
        <v>15940</v>
      </c>
      <c r="G15" s="25">
        <f>AVERAGE('01_Financial_Statements'!F26:'01_Financial_Statements'!G26)</f>
        <v>19225</v>
      </c>
      <c r="H15" s="25">
        <f>AVERAGE('01_Financial_Statements'!G26:'01_Financial_Statements'!H26)</f>
        <v>23050</v>
      </c>
      <c r="I15" s="25">
        <f>AVERAGE('01_Financial_Statements'!H26:'01_Financial_Statements'!I26)</f>
        <v>25800</v>
      </c>
      <c r="J15" s="25">
        <f>AVERAGE('01_Financial_Statements'!I26:'01_Financial_Statements'!J26)</f>
        <v>28115</v>
      </c>
      <c r="K15" s="25">
        <f>AVERAGE('01_Financial_Statements'!J26:'01_Financial_Statements'!K26)</f>
        <v>29815</v>
      </c>
      <c r="L15" s="26">
        <f>AVERAGE(B15:K15)</f>
        <v>19378.5</v>
      </c>
      <c r="M15" s="4"/>
    </row>
    <row r="16" spans="1:13" ht="20" customHeight="1" x14ac:dyDescent="0.4">
      <c r="A16" s="16" t="s">
        <v>141</v>
      </c>
      <c r="B16" s="27">
        <f t="shared" ref="B16:K16" si="1">B14/B15</f>
        <v>-3.1195840554592721E-3</v>
      </c>
      <c r="C16" s="27">
        <f t="shared" si="1"/>
        <v>-1.0828547990155866E-2</v>
      </c>
      <c r="D16" s="27">
        <f t="shared" si="1"/>
        <v>1.4079288625416821E-3</v>
      </c>
      <c r="E16" s="27">
        <f t="shared" si="1"/>
        <v>-1.3137187820732124E-2</v>
      </c>
      <c r="F16" s="27">
        <f t="shared" si="1"/>
        <v>-1.7628607277289838E-2</v>
      </c>
      <c r="G16" s="27">
        <f t="shared" si="1"/>
        <v>2.0130039011703512E-2</v>
      </c>
      <c r="H16" s="27">
        <f t="shared" si="1"/>
        <v>4.5119305856832969E-3</v>
      </c>
      <c r="I16" s="27">
        <f t="shared" si="1"/>
        <v>-1.2209302325581395E-2</v>
      </c>
      <c r="J16" s="27">
        <f t="shared" si="1"/>
        <v>-5.3352303041081274E-3</v>
      </c>
      <c r="K16" s="27">
        <f t="shared" si="1"/>
        <v>-2.3478115042763711E-3</v>
      </c>
      <c r="L16" s="20">
        <f>AVERAGE(B16:K16)</f>
        <v>-3.8556372817674508E-3</v>
      </c>
      <c r="M16" s="5" t="str">
        <f>IF(ABS(L16)&lt;=0.05,"PASS: HEALTHY NEGATIVE ACCRUALS","AGGRESSIVE")</f>
        <v>PASS: HEALTHY NEGATIVE ACCRUALS</v>
      </c>
    </row>
    <row r="17" spans="1:13" ht="20" customHeight="1" x14ac:dyDescent="0.4">
      <c r="A17" s="9" t="s">
        <v>142</v>
      </c>
      <c r="B17" s="28" t="str">
        <f t="shared" ref="B17:K17" si="2">IF(ABS(B16)&lt;=0.05,"HEALTHY ACCRUALS","WATCH / DISTORTION")</f>
        <v>HEALTHY ACCRUALS</v>
      </c>
      <c r="C17" s="28" t="str">
        <f t="shared" si="2"/>
        <v>HEALTHY ACCRUALS</v>
      </c>
      <c r="D17" s="28" t="str">
        <f t="shared" si="2"/>
        <v>HEALTHY ACCRUALS</v>
      </c>
      <c r="E17" s="28" t="str">
        <f t="shared" si="2"/>
        <v>HEALTHY ACCRUALS</v>
      </c>
      <c r="F17" s="28" t="str">
        <f t="shared" si="2"/>
        <v>HEALTHY ACCRUALS</v>
      </c>
      <c r="G17" s="28" t="str">
        <f t="shared" si="2"/>
        <v>HEALTHY ACCRUALS</v>
      </c>
      <c r="H17" s="28" t="str">
        <f t="shared" si="2"/>
        <v>HEALTHY ACCRUALS</v>
      </c>
      <c r="I17" s="28" t="str">
        <f t="shared" si="2"/>
        <v>HEALTHY ACCRUALS</v>
      </c>
      <c r="J17" s="28" t="str">
        <f t="shared" si="2"/>
        <v>HEALTHY ACCRUALS</v>
      </c>
      <c r="K17" s="28" t="str">
        <f t="shared" si="2"/>
        <v>HEALTHY ACCRUALS</v>
      </c>
      <c r="L17" s="29" t="str">
        <f>"BENCHMARK: [-5%, +5%]"</f>
        <v>BENCHMARK: [-5%, +5%]</v>
      </c>
      <c r="M17" s="5" t="str">
        <f>"PASS: HIGH CASH REALIZATION"</f>
        <v>PASS: HIGH CASH REALIZATION</v>
      </c>
    </row>
    <row r="19" spans="1:13" ht="21" customHeight="1" x14ac:dyDescent="0.35">
      <c r="A19" s="63" t="s">
        <v>143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</row>
    <row r="20" spans="1:13" ht="20" customHeight="1" x14ac:dyDescent="0.4">
      <c r="A20" s="9" t="s">
        <v>76</v>
      </c>
      <c r="B20" s="25">
        <f>'01_Financial_Statements'!B5</f>
        <v>15062</v>
      </c>
      <c r="C20" s="25">
        <f>'01_Financial_Statements'!C5</f>
        <v>16822</v>
      </c>
      <c r="D20" s="25">
        <f>'01_Financial_Statements'!D5</f>
        <v>19240</v>
      </c>
      <c r="E20" s="25">
        <f>'01_Financial_Statements'!E5</f>
        <v>20211</v>
      </c>
      <c r="F20" s="25">
        <f>'01_Financial_Statements'!F5</f>
        <v>21713</v>
      </c>
      <c r="G20" s="25">
        <f>'01_Financial_Statements'!G5</f>
        <v>29101</v>
      </c>
      <c r="H20" s="25">
        <f>'01_Financial_Statements'!H5</f>
        <v>34489</v>
      </c>
      <c r="I20" s="25">
        <f>'01_Financial_Statements'!I5</f>
        <v>35495</v>
      </c>
      <c r="J20" s="25">
        <f>'01_Financial_Statements'!J5</f>
        <v>36200</v>
      </c>
      <c r="K20" s="25">
        <f>'01_Financial_Statements'!K5</f>
        <v>38150</v>
      </c>
      <c r="L20" s="26">
        <f>AVERAGE(B20:K20)</f>
        <v>26648.3</v>
      </c>
      <c r="M20" s="4"/>
    </row>
    <row r="21" spans="1:13" ht="20" customHeight="1" x14ac:dyDescent="0.4">
      <c r="A21" s="9" t="s">
        <v>144</v>
      </c>
      <c r="B21" s="25">
        <v>0</v>
      </c>
      <c r="C21" s="25">
        <f>'01_Financial_Statements'!C21-'01_Financial_Statements'!B21</f>
        <v>280</v>
      </c>
      <c r="D21" s="25">
        <f>'01_Financial_Statements'!D21-'01_Financial_Statements'!C21</f>
        <v>230</v>
      </c>
      <c r="E21" s="25">
        <f>'01_Financial_Statements'!E21-'01_Financial_Statements'!D21</f>
        <v>-150</v>
      </c>
      <c r="F21" s="25">
        <f>'01_Financial_Statements'!F21-'01_Financial_Statements'!E21</f>
        <v>300</v>
      </c>
      <c r="G21" s="25">
        <f>'01_Financial_Statements'!G21-'01_Financial_Statements'!F21</f>
        <v>1300</v>
      </c>
      <c r="H21" s="25">
        <f>'01_Financial_Statements'!H21-'01_Financial_Statements'!G21</f>
        <v>700</v>
      </c>
      <c r="I21" s="25">
        <f>'01_Financial_Statements'!I21-'01_Financial_Statements'!H21</f>
        <v>500</v>
      </c>
      <c r="J21" s="25">
        <f>'01_Financial_Statements'!J21-'01_Financial_Statements'!I21</f>
        <v>200</v>
      </c>
      <c r="K21" s="25">
        <f>'01_Financial_Statements'!K21-'01_Financial_Statements'!J21</f>
        <v>150</v>
      </c>
      <c r="L21" s="26">
        <f>AVERAGE(B21:K21)</f>
        <v>351</v>
      </c>
      <c r="M21" s="4"/>
    </row>
    <row r="22" spans="1:13" ht="20" customHeight="1" x14ac:dyDescent="0.4">
      <c r="A22" s="16" t="s">
        <v>145</v>
      </c>
      <c r="B22" s="12">
        <f t="shared" ref="B22:K22" si="3">B20-B21</f>
        <v>15062</v>
      </c>
      <c r="C22" s="12">
        <f t="shared" si="3"/>
        <v>16542</v>
      </c>
      <c r="D22" s="12">
        <f t="shared" si="3"/>
        <v>19010</v>
      </c>
      <c r="E22" s="12">
        <f t="shared" si="3"/>
        <v>20361</v>
      </c>
      <c r="F22" s="12">
        <f t="shared" si="3"/>
        <v>21413</v>
      </c>
      <c r="G22" s="12">
        <f t="shared" si="3"/>
        <v>27801</v>
      </c>
      <c r="H22" s="12">
        <f t="shared" si="3"/>
        <v>33789</v>
      </c>
      <c r="I22" s="12">
        <f t="shared" si="3"/>
        <v>34995</v>
      </c>
      <c r="J22" s="12">
        <f t="shared" si="3"/>
        <v>36000</v>
      </c>
      <c r="K22" s="12">
        <f t="shared" si="3"/>
        <v>38000</v>
      </c>
      <c r="L22" s="12">
        <f>AVERAGE(B22:K22)</f>
        <v>26297.3</v>
      </c>
      <c r="M22" s="4"/>
    </row>
    <row r="23" spans="1:13" ht="20" customHeight="1" x14ac:dyDescent="0.4">
      <c r="A23" s="16" t="s">
        <v>146</v>
      </c>
      <c r="B23" s="20">
        <f t="shared" ref="B23:K23" si="4">B22/B20</f>
        <v>1</v>
      </c>
      <c r="C23" s="20">
        <f t="shared" si="4"/>
        <v>0.98335513018666032</v>
      </c>
      <c r="D23" s="20">
        <f t="shared" si="4"/>
        <v>0.98804573804573803</v>
      </c>
      <c r="E23" s="20">
        <f t="shared" si="4"/>
        <v>1.0074217010538815</v>
      </c>
      <c r="F23" s="20">
        <f t="shared" si="4"/>
        <v>0.98618339243771014</v>
      </c>
      <c r="G23" s="20">
        <f t="shared" si="4"/>
        <v>0.9553279956015257</v>
      </c>
      <c r="H23" s="20">
        <f t="shared" si="4"/>
        <v>0.97970367363507205</v>
      </c>
      <c r="I23" s="20">
        <f t="shared" si="4"/>
        <v>0.9859135089449218</v>
      </c>
      <c r="J23" s="20">
        <f t="shared" si="4"/>
        <v>0.99447513812154698</v>
      </c>
      <c r="K23" s="20">
        <f t="shared" si="4"/>
        <v>0.99606815203145482</v>
      </c>
      <c r="L23" s="20">
        <f>AVERAGE(B23:K23)</f>
        <v>0.98764944300585122</v>
      </c>
      <c r="M23" s="5" t="str">
        <f>IF(L23&gt;=0.98,"PASS: EXCELLENT CASH EXTRACTION","WATCH")</f>
        <v>PASS: EXCELLENT CASH EXTRACTION</v>
      </c>
    </row>
    <row r="24" spans="1:13" ht="20" customHeight="1" x14ac:dyDescent="0.4">
      <c r="A24" s="9" t="s">
        <v>147</v>
      </c>
      <c r="B24" s="30">
        <v>0</v>
      </c>
      <c r="C24" s="30">
        <f>(('01_Financial_Statements'!C21/'01_Financial_Statements'!B21)-1)-(('01_Financial_Statements'!C5/'01_Financial_Statements'!B5)-1)</f>
        <v>7.7594092565543837E-2</v>
      </c>
      <c r="D24" s="30">
        <f>(('01_Financial_Statements'!D21/'01_Financial_Statements'!C21)-1)-(('01_Financial_Statements'!D5/'01_Financial_Statements'!C5)-1)</f>
        <v>-1.0019409798353696E-2</v>
      </c>
      <c r="E24" s="30">
        <f>(('01_Financial_Statements'!E21/'01_Financial_Statements'!D21)-1)-(('01_Financial_Statements'!E5/'01_Financial_Statements'!D5)-1)</f>
        <v>-0.12739085239085224</v>
      </c>
      <c r="F24" s="30">
        <f>(('01_Financial_Statements'!F21/'01_Financial_Statements'!E21)-1)-(('01_Financial_Statements'!F5/'01_Financial_Statements'!E5)-1)</f>
        <v>9.2350700113799533E-2</v>
      </c>
      <c r="G24" s="30">
        <f>(('01_Financial_Statements'!G21/'01_Financial_Statements'!F21)-1)-(('01_Financial_Statements'!G5/'01_Financial_Statements'!F5)-1)</f>
        <v>0.27879063014696048</v>
      </c>
      <c r="H24" s="30">
        <f>(('01_Financial_Statements'!H21/'01_Financial_Statements'!G21)-1)-(('01_Financial_Statements'!H5/'01_Financial_Statements'!G5)-1)</f>
        <v>2.0734076249653732E-2</v>
      </c>
      <c r="I24" s="30">
        <f>(('01_Financial_Statements'!I21/'01_Financial_Statements'!H21)-1)-(('01_Financial_Statements'!I5/'01_Financial_Statements'!H5)-1)</f>
        <v>9.2782499050598766E-2</v>
      </c>
      <c r="J24" s="30">
        <f>(('01_Financial_Statements'!J21/'01_Financial_Statements'!I21)-1)-(('01_Financial_Statements'!J5/'01_Financial_Statements'!I5)-1)</f>
        <v>2.3616308481904991E-2</v>
      </c>
      <c r="K24" s="30">
        <f>(('01_Financial_Statements'!K21/'01_Financial_Statements'!J21)-1)-(('01_Financial_Statements'!K5/'01_Financial_Statements'!J5)-1)</f>
        <v>-2.2617403314917128E-2</v>
      </c>
      <c r="L24" s="31">
        <f>AVERAGE(B24:K24)</f>
        <v>4.2584064110433827E-2</v>
      </c>
      <c r="M24" s="5" t="str">
        <f>IF(L24&lt;=0.03,"PASS: ALIGNED WITH SALES","WATCH: CHANNEL EXTENSION")</f>
        <v>WATCH: CHANNEL EXTENSION</v>
      </c>
    </row>
    <row r="26" spans="1:13" ht="21" customHeight="1" x14ac:dyDescent="0.35">
      <c r="A26" s="63" t="s">
        <v>148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</row>
    <row r="27" spans="1:13" ht="20" customHeight="1" x14ac:dyDescent="0.4">
      <c r="A27" s="9" t="s">
        <v>149</v>
      </c>
      <c r="B27" s="18">
        <f>'01_Financial_Statements'!B13/'01_Financial_Statements'!B15</f>
        <v>7.9113924050632917E-2</v>
      </c>
      <c r="C27" s="18">
        <f>'01_Financial_Statements'!C13/'01_Financial_Statements'!C15</f>
        <v>7.3106185908038371E-2</v>
      </c>
      <c r="D27" s="18">
        <f>'01_Financial_Statements'!D13/'01_Financial_Statements'!D15</f>
        <v>6.6268486916951086E-2</v>
      </c>
      <c r="E27" s="18">
        <f>'01_Financial_Statements'!E13/'01_Financial_Statements'!E15</f>
        <v>8.4845101869941389E-2</v>
      </c>
      <c r="F27" s="18">
        <f>'01_Financial_Statements'!F13/'01_Financial_Statements'!F15</f>
        <v>7.0860617399438733E-2</v>
      </c>
      <c r="G27" s="18">
        <f>'01_Financial_Statements'!G13/'01_Financial_Statements'!G15</f>
        <v>8.8972137672676185E-2</v>
      </c>
      <c r="H27" s="18">
        <f>'01_Financial_Statements'!H13/'01_Financial_Statements'!H15</f>
        <v>6.8568391211906443E-2</v>
      </c>
      <c r="I27" s="18">
        <f>'01_Financial_Statements'!I13/'01_Financial_Statements'!I15</f>
        <v>8.442503639010189E-2</v>
      </c>
      <c r="J27" s="18">
        <f>'01_Financial_Statements'!J13/'01_Financial_Statements'!J15</f>
        <v>9.8334655035685961E-2</v>
      </c>
      <c r="K27" s="18">
        <f>'01_Financial_Statements'!K13/'01_Financial_Statements'!K15</f>
        <v>9.7597597597597591E-2</v>
      </c>
      <c r="L27" s="32">
        <f>AVERAGE(B27:K27)</f>
        <v>8.1209213405297048E-2</v>
      </c>
      <c r="M27" s="5" t="str">
        <f>IF(L27&lt;=0.12,"PASS: CORE OPERATING DRIVEN","WATCH")</f>
        <v>PASS: CORE OPERATING DRIVEN</v>
      </c>
    </row>
    <row r="28" spans="1:13" ht="20" customHeight="1" x14ac:dyDescent="0.4">
      <c r="A28" s="9" t="s">
        <v>150</v>
      </c>
      <c r="B28" s="18">
        <f>'01_Financial_Statements'!B34/'01_Financial_Statements'!B33</f>
        <v>0.34146341463414637</v>
      </c>
      <c r="C28" s="18">
        <f>'01_Financial_Statements'!C34/'01_Financial_Statements'!C33</f>
        <v>0.4</v>
      </c>
      <c r="D28" s="18">
        <f>'01_Financial_Statements'!D34/'01_Financial_Statements'!D33</f>
        <v>0.45833333333333331</v>
      </c>
      <c r="E28" s="18">
        <f>'01_Financial_Statements'!E34/'01_Financial_Statements'!E33</f>
        <v>0.26229508196721313</v>
      </c>
      <c r="F28" s="18">
        <f>'01_Financial_Statements'!F34/'01_Financial_Statements'!F33</f>
        <v>0.10860711376595167</v>
      </c>
      <c r="G28" s="18">
        <f>'01_Financial_Statements'!G34/'01_Financial_Statements'!G33</f>
        <v>0.20689655172413793</v>
      </c>
      <c r="H28" s="18">
        <f>'01_Financial_Statements'!H34/'01_Financial_Statements'!H33</f>
        <v>0.23849272597185786</v>
      </c>
      <c r="I28" s="18">
        <f>'01_Financial_Statements'!I34/'01_Financial_Statements'!I33</f>
        <v>0.32646048109965636</v>
      </c>
      <c r="J28" s="18">
        <f>'01_Financial_Statements'!J34/'01_Financial_Statements'!J33</f>
        <v>0.42718446601941745</v>
      </c>
      <c r="K28" s="18">
        <f>'01_Financial_Statements'!K34/'01_Financial_Statements'!K33</f>
        <v>0.38532110091743121</v>
      </c>
      <c r="L28" s="32">
        <f>AVERAGE(B28:K28)</f>
        <v>0.31550542694331452</v>
      </c>
      <c r="M28" s="33" t="str">
        <f>IF(L28&lt;=0.45,"BALANCED REINVESTMENT","HIGH REINVESTMENT")</f>
        <v>BALANCED REINVESTMENT</v>
      </c>
    </row>
    <row r="29" spans="1:13" ht="20" customHeight="1" x14ac:dyDescent="0.4">
      <c r="A29" s="9" t="s">
        <v>151</v>
      </c>
      <c r="B29" s="24">
        <f>'01_Financial_Statements'!B34/'01_Financial_Statements'!B11</f>
        <v>2.0710059171597632</v>
      </c>
      <c r="C29" s="24">
        <f>'01_Financial_Statements'!C34/'01_Financial_Statements'!C11</f>
        <v>2.4930747922437675</v>
      </c>
      <c r="D29" s="24">
        <f>'01_Financial_Statements'!D34/'01_Financial_Statements'!D11</f>
        <v>2.5522041763341066</v>
      </c>
      <c r="E29" s="24">
        <f>'01_Financial_Statements'!E34/'01_Financial_Statements'!E11</f>
        <v>1.0243277848911652</v>
      </c>
      <c r="F29" s="24">
        <f>'01_Financial_Statements'!F34/'01_Financial_Statements'!F11</f>
        <v>0.50568900126422245</v>
      </c>
      <c r="G29" s="24">
        <f>'01_Financial_Statements'!G34/'01_Financial_Statements'!G11</f>
        <v>0.73529411764705888</v>
      </c>
      <c r="H29" s="24">
        <f>'01_Financial_Statements'!H34/'01_Financial_Statements'!H11</f>
        <v>1.1655011655011656</v>
      </c>
      <c r="I29" s="24">
        <f>'01_Financial_Statements'!I34/'01_Financial_Statements'!I11</f>
        <v>2.087912087912088</v>
      </c>
      <c r="J29" s="24">
        <f>'01_Financial_Statements'!J34/'01_Financial_Statements'!J11</f>
        <v>2.2448979591836733</v>
      </c>
      <c r="K29" s="24">
        <f>'01_Financial_Statements'!K34/'01_Financial_Statements'!K11</f>
        <v>2</v>
      </c>
      <c r="L29" s="34">
        <f>AVERAGE(B29:K29)</f>
        <v>1.6879907002137009</v>
      </c>
      <c r="M29" s="33" t="str">
        <f>"ORGANIC GROWTH CAPEX"</f>
        <v>ORGANIC GROWTH CAPEX</v>
      </c>
    </row>
    <row r="30" spans="1:13" ht="20" customHeight="1" x14ac:dyDescent="0.4">
      <c r="A30" s="16" t="s">
        <v>152</v>
      </c>
      <c r="B30" s="35" t="str">
        <f t="shared" ref="B30:K30" si="5">IF(AND(B5&gt;=1, ABS(B16)&lt;=0.05), "PRIME QUALITY", IF(B5&gt;=0.85, "SATISFACTORY", "WATCH"))</f>
        <v>PRIME QUALITY</v>
      </c>
      <c r="C30" s="35" t="str">
        <f t="shared" si="5"/>
        <v>PRIME QUALITY</v>
      </c>
      <c r="D30" s="35" t="str">
        <f t="shared" si="5"/>
        <v>SATISFACTORY</v>
      </c>
      <c r="E30" s="35" t="str">
        <f t="shared" si="5"/>
        <v>PRIME QUALITY</v>
      </c>
      <c r="F30" s="35" t="str">
        <f t="shared" si="5"/>
        <v>PRIME QUALITY</v>
      </c>
      <c r="G30" s="35" t="str">
        <f t="shared" si="5"/>
        <v>SATISFACTORY</v>
      </c>
      <c r="H30" s="35" t="str">
        <f t="shared" si="5"/>
        <v>SATISFACTORY</v>
      </c>
      <c r="I30" s="35" t="str">
        <f t="shared" si="5"/>
        <v>PRIME QUALITY</v>
      </c>
      <c r="J30" s="35" t="str">
        <f t="shared" si="5"/>
        <v>PRIME QUALITY</v>
      </c>
      <c r="K30" s="35" t="str">
        <f t="shared" si="5"/>
        <v>PRIME QUALITY</v>
      </c>
      <c r="L30" s="36" t="str">
        <f>"10Y COMPOSITE"</f>
        <v>10Y COMPOSITE</v>
      </c>
      <c r="M30" s="5" t="str">
        <f>"HIGH QUALITY FRANCHISE"</f>
        <v>HIGH QUALITY FRANCHISE</v>
      </c>
    </row>
    <row r="32" spans="1:13" ht="21" customHeight="1" x14ac:dyDescent="0.35">
      <c r="A32" s="63" t="s">
        <v>153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</row>
    <row r="33" spans="1:13" x14ac:dyDescent="0.35">
      <c r="A33" s="50" t="s">
        <v>154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2"/>
    </row>
    <row r="34" spans="1:13" x14ac:dyDescent="0.35">
      <c r="A34" s="53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5"/>
    </row>
    <row r="35" spans="1:13" x14ac:dyDescent="0.35">
      <c r="A35" s="53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5"/>
    </row>
    <row r="36" spans="1:13" x14ac:dyDescent="0.35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5"/>
    </row>
    <row r="37" spans="1:13" x14ac:dyDescent="0.35">
      <c r="A37" s="56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8"/>
    </row>
  </sheetData>
  <mergeCells count="8">
    <mergeCell ref="A33:M37"/>
    <mergeCell ref="A2:M2"/>
    <mergeCell ref="A11:M11"/>
    <mergeCell ref="A19:M19"/>
    <mergeCell ref="A1:M1"/>
    <mergeCell ref="A32:M32"/>
    <mergeCell ref="A4:M4"/>
    <mergeCell ref="A26:M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8"/>
  <sheetViews>
    <sheetView workbookViewId="0">
      <pane xSplit="1" ySplit="3" topLeftCell="B4" activePane="bottomRight" state="frozen"/>
      <selection pane="topRight"/>
      <selection pane="bottomLeft"/>
      <selection pane="bottomRight" sqref="A1:K1"/>
    </sheetView>
  </sheetViews>
  <sheetFormatPr defaultRowHeight="14.5" x14ac:dyDescent="0.35"/>
  <cols>
    <col min="1" max="1" width="42" customWidth="1"/>
    <col min="2" max="11" width="13" customWidth="1"/>
  </cols>
  <sheetData>
    <row r="1" spans="1:11" ht="24" customHeight="1" x14ac:dyDescent="0.35">
      <c r="A1" s="48" t="s">
        <v>155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3" spans="1:11" ht="20" customHeight="1" x14ac:dyDescent="0.4">
      <c r="A3" s="7" t="s">
        <v>156</v>
      </c>
      <c r="B3" s="8" t="s">
        <v>65</v>
      </c>
      <c r="C3" s="8" t="s">
        <v>66</v>
      </c>
      <c r="D3" s="8" t="s">
        <v>67</v>
      </c>
      <c r="E3" s="8" t="s">
        <v>68</v>
      </c>
      <c r="F3" s="8" t="s">
        <v>69</v>
      </c>
      <c r="G3" s="8" t="s">
        <v>70</v>
      </c>
      <c r="H3" s="8" t="s">
        <v>71</v>
      </c>
      <c r="I3" s="8" t="s">
        <v>72</v>
      </c>
      <c r="J3" s="8" t="s">
        <v>73</v>
      </c>
      <c r="K3" s="8" t="s">
        <v>74</v>
      </c>
    </row>
    <row r="4" spans="1:11" ht="21" customHeight="1" x14ac:dyDescent="0.35">
      <c r="A4" s="63" t="s">
        <v>157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ht="15" x14ac:dyDescent="0.4">
      <c r="A5" s="16" t="s">
        <v>158</v>
      </c>
      <c r="B5" s="37">
        <f>('01_Financial_Statements'!B21/'01_Financial_Statements'!B5)*365</f>
        <v>34.895764174744386</v>
      </c>
      <c r="C5" s="37">
        <f>('01_Financial_Statements'!C21/'01_Financial_Statements'!C5)*365</f>
        <v>37.32017596005231</v>
      </c>
      <c r="D5" s="37">
        <f>('01_Financial_Statements'!D21/'01_Financial_Statements'!D5)*365</f>
        <v>36.993243243243242</v>
      </c>
      <c r="E5" s="37">
        <f>('01_Financial_Statements'!E21/'01_Financial_Statements'!E5)*365</f>
        <v>32.507050616001187</v>
      </c>
      <c r="F5" s="37">
        <f>('01_Financial_Statements'!F21/'01_Financial_Statements'!F5)*365</f>
        <v>35.301432321650623</v>
      </c>
      <c r="G5" s="37">
        <f>('01_Financial_Statements'!G21/'01_Financial_Statements'!G5)*365</f>
        <v>42.64458266038968</v>
      </c>
      <c r="H5" s="37">
        <f>('01_Financial_Statements'!H21/'01_Financial_Statements'!H5)*365</f>
        <v>43.390646293020964</v>
      </c>
      <c r="I5" s="37">
        <f>('01_Financial_Statements'!I21/'01_Financial_Statements'!I5)*365</f>
        <v>47.302436962952534</v>
      </c>
      <c r="J5" s="37">
        <f>('01_Financial_Statements'!J21/'01_Financial_Statements'!J5)*365</f>
        <v>48.397790055248613</v>
      </c>
      <c r="K5" s="37">
        <f>('01_Financial_Statements'!K21/'01_Financial_Statements'!K5)*365</f>
        <v>47.359108781127134</v>
      </c>
    </row>
    <row r="6" spans="1:11" ht="15" x14ac:dyDescent="0.4">
      <c r="A6" s="16" t="s">
        <v>159</v>
      </c>
      <c r="B6" s="18">
        <f>'01_Financial_Statements'!B21/'01_Financial_Statements'!B5</f>
        <v>9.5604833355464075E-2</v>
      </c>
      <c r="C6" s="18">
        <f>'01_Financial_Statements'!C21/'01_Financial_Statements'!C5</f>
        <v>0.10224705742480085</v>
      </c>
      <c r="D6" s="18">
        <f>'01_Financial_Statements'!D21/'01_Financial_Statements'!D5</f>
        <v>0.10135135135135136</v>
      </c>
      <c r="E6" s="18">
        <f>'01_Financial_Statements'!E21/'01_Financial_Statements'!E5</f>
        <v>8.9060412646578602E-2</v>
      </c>
      <c r="F6" s="18">
        <f>'01_Financial_Statements'!F21/'01_Financial_Statements'!F5</f>
        <v>9.6716252936029104E-2</v>
      </c>
      <c r="G6" s="18">
        <f>'01_Financial_Statements'!G21/'01_Financial_Statements'!G5</f>
        <v>0.1168344730421635</v>
      </c>
      <c r="H6" s="18">
        <f>'01_Financial_Statements'!H21/'01_Financial_Statements'!H5</f>
        <v>0.11887848299457798</v>
      </c>
      <c r="I6" s="18">
        <f>'01_Financial_Statements'!I21/'01_Financial_Statements'!I5</f>
        <v>0.12959571770671927</v>
      </c>
      <c r="J6" s="18">
        <f>'01_Financial_Statements'!J21/'01_Financial_Statements'!J5</f>
        <v>0.13259668508287292</v>
      </c>
      <c r="K6" s="18">
        <f>'01_Financial_Statements'!K21/'01_Financial_Statements'!K5</f>
        <v>0.12975098296199214</v>
      </c>
    </row>
    <row r="7" spans="1:11" ht="15" x14ac:dyDescent="0.4">
      <c r="A7" s="16" t="s">
        <v>160</v>
      </c>
      <c r="B7" s="30">
        <v>0</v>
      </c>
      <c r="C7" s="30">
        <f>(('01_Financial_Statements'!C21/'01_Financial_Statements'!B21)-1)-(('01_Financial_Statements'!C5/'01_Financial_Statements'!B5)-1)</f>
        <v>7.7594092565543837E-2</v>
      </c>
      <c r="D7" s="30">
        <f>(('01_Financial_Statements'!D21/'01_Financial_Statements'!C21)-1)-(('01_Financial_Statements'!D5/'01_Financial_Statements'!C5)-1)</f>
        <v>-1.0019409798353696E-2</v>
      </c>
      <c r="E7" s="30">
        <f>(('01_Financial_Statements'!E21/'01_Financial_Statements'!D21)-1)-(('01_Financial_Statements'!E5/'01_Financial_Statements'!D5)-1)</f>
        <v>-0.12739085239085224</v>
      </c>
      <c r="F7" s="30">
        <f>(('01_Financial_Statements'!F21/'01_Financial_Statements'!E21)-1)-(('01_Financial_Statements'!F5/'01_Financial_Statements'!E5)-1)</f>
        <v>9.2350700113799533E-2</v>
      </c>
      <c r="G7" s="30">
        <f>(('01_Financial_Statements'!G21/'01_Financial_Statements'!F21)-1)-(('01_Financial_Statements'!G5/'01_Financial_Statements'!F5)-1)</f>
        <v>0.27879063014696048</v>
      </c>
      <c r="H7" s="30">
        <f>(('01_Financial_Statements'!H21/'01_Financial_Statements'!G21)-1)-(('01_Financial_Statements'!H5/'01_Financial_Statements'!G5)-1)</f>
        <v>2.0734076249653732E-2</v>
      </c>
      <c r="I7" s="30">
        <f>(('01_Financial_Statements'!I21/'01_Financial_Statements'!H21)-1)-(('01_Financial_Statements'!I5/'01_Financial_Statements'!H5)-1)</f>
        <v>9.2782499050598766E-2</v>
      </c>
      <c r="J7" s="30">
        <f>(('01_Financial_Statements'!J21/'01_Financial_Statements'!I21)-1)-(('01_Financial_Statements'!J5/'01_Financial_Statements'!I5)-1)</f>
        <v>2.3616308481904991E-2</v>
      </c>
      <c r="K7" s="30">
        <f>(('01_Financial_Statements'!K21/'01_Financial_Statements'!J21)-1)-(('01_Financial_Statements'!K5/'01_Financial_Statements'!J5)-1)</f>
        <v>-2.2617403314917128E-2</v>
      </c>
    </row>
    <row r="9" spans="1:11" ht="21" customHeight="1" x14ac:dyDescent="0.35">
      <c r="A9" s="63" t="s">
        <v>161</v>
      </c>
      <c r="B9" s="43"/>
      <c r="C9" s="43"/>
      <c r="D9" s="43"/>
      <c r="E9" s="43"/>
      <c r="F9" s="43"/>
      <c r="G9" s="43"/>
      <c r="H9" s="43"/>
      <c r="I9" s="43"/>
      <c r="J9" s="43"/>
      <c r="K9" s="43"/>
    </row>
    <row r="10" spans="1:11" ht="15" x14ac:dyDescent="0.4">
      <c r="A10" s="16" t="s">
        <v>162</v>
      </c>
      <c r="B10" s="37">
        <f>('01_Financial_Statements'!B22/'01_Financial_Statements'!B6)*365</f>
        <v>132.72727272727272</v>
      </c>
      <c r="C10" s="37">
        <f>('01_Financial_Statements'!C22/'01_Financial_Statements'!C6)*365</f>
        <v>130.67901234567901</v>
      </c>
      <c r="D10" s="37">
        <f>('01_Financial_Statements'!D22/'01_Financial_Statements'!D6)*365</f>
        <v>123.62903225806451</v>
      </c>
      <c r="E10" s="37">
        <f>('01_Financial_Statements'!E22/'01_Financial_Statements'!E6)*365</f>
        <v>129.94764397905757</v>
      </c>
      <c r="F10" s="37">
        <f>('01_Financial_Statements'!F22/'01_Financial_Statements'!F6)*365</f>
        <v>129.02325581395348</v>
      </c>
      <c r="G10" s="37">
        <f>('01_Financial_Statements'!G22/'01_Financial_Statements'!G6)*365</f>
        <v>138.13846153846154</v>
      </c>
      <c r="H10" s="37">
        <f>('01_Financial_Statements'!H22/'01_Financial_Statements'!H6)*365</f>
        <v>121.01604278074866</v>
      </c>
      <c r="I10" s="37">
        <f>('01_Financial_Statements'!I22/'01_Financial_Statements'!I6)*365</f>
        <v>108.76790830945559</v>
      </c>
      <c r="J10" s="37">
        <f>('01_Financial_Statements'!J22/'01_Financial_Statements'!J6)*365</f>
        <v>109.90331491712708</v>
      </c>
      <c r="K10" s="37">
        <f>('01_Financial_Statements'!K22/'01_Financial_Statements'!K6)*365</f>
        <v>109.21259842519686</v>
      </c>
    </row>
    <row r="11" spans="1:11" ht="15" x14ac:dyDescent="0.4">
      <c r="A11" s="16" t="s">
        <v>163</v>
      </c>
      <c r="B11" s="18">
        <f>'01_Financial_Statements'!B22/'01_Financial_Statements'!B5</f>
        <v>0.17261983800292127</v>
      </c>
      <c r="C11" s="18">
        <f>'01_Financial_Statements'!C22/'01_Financial_Statements'!C5</f>
        <v>0.17239329449530377</v>
      </c>
      <c r="D11" s="18">
        <f>'01_Financial_Statements'!D22/'01_Financial_Statements'!D5</f>
        <v>0.16372141372141372</v>
      </c>
      <c r="E11" s="18">
        <f>'01_Financial_Statements'!E22/'01_Financial_Statements'!E5</f>
        <v>0.16822522388798178</v>
      </c>
      <c r="F11" s="18">
        <f>'01_Financial_Statements'!F22/'01_Financial_Statements'!F5</f>
        <v>0.17501036245567173</v>
      </c>
      <c r="G11" s="18">
        <f>'01_Financial_Statements'!G22/'01_Financial_Statements'!G5</f>
        <v>0.21133294388508986</v>
      </c>
      <c r="H11" s="18">
        <f>'01_Financial_Statements'!H22/'01_Financial_Statements'!H5</f>
        <v>0.17976746208936181</v>
      </c>
      <c r="I11" s="18">
        <f>'01_Financial_Statements'!I22/'01_Financial_Statements'!I5</f>
        <v>0.14649950697281308</v>
      </c>
      <c r="J11" s="18">
        <f>'01_Financial_Statements'!J22/'01_Financial_Statements'!J5</f>
        <v>0.15055248618784531</v>
      </c>
      <c r="K11" s="18">
        <f>'01_Financial_Statements'!K22/'01_Financial_Statements'!K5</f>
        <v>0.14941022280471822</v>
      </c>
    </row>
    <row r="12" spans="1:11" ht="15" x14ac:dyDescent="0.4">
      <c r="A12" s="16" t="s">
        <v>164</v>
      </c>
      <c r="B12" s="30">
        <v>0</v>
      </c>
      <c r="C12" s="30">
        <f>(('01_Financial_Statements'!C22/'01_Financial_Statements'!B22)-1)-(('01_Financial_Statements'!C5/'01_Financial_Statements'!B5)-1)</f>
        <v>-1.4657364942851636E-3</v>
      </c>
      <c r="D12" s="30">
        <f>(('01_Financial_Statements'!D22/'01_Financial_Statements'!C22)-1)-(('01_Financial_Statements'!D5/'01_Financial_Statements'!C5)-1)</f>
        <v>-5.7533443479187651E-2</v>
      </c>
      <c r="E12" s="30">
        <f>(('01_Financial_Statements'!E22/'01_Financial_Statements'!D22)-1)-(('01_Financial_Statements'!E5/'01_Financial_Statements'!D5)-1)</f>
        <v>2.8897303897303939E-2</v>
      </c>
      <c r="F12" s="30">
        <f>(('01_Financial_Statements'!F22/'01_Financial_Statements'!E22)-1)-(('01_Financial_Statements'!F5/'01_Financial_Statements'!E5)-1)</f>
        <v>4.333109227066223E-2</v>
      </c>
      <c r="G12" s="30">
        <f>(('01_Financial_Statements'!G22/'01_Financial_Statements'!F22)-1)-(('01_Financial_Statements'!G5/'01_Financial_Statements'!F5)-1)</f>
        <v>0.2781640637309204</v>
      </c>
      <c r="H12" s="30">
        <f>(('01_Financial_Statements'!H22/'01_Financial_Statements'!G22)-1)-(('01_Financial_Statements'!H5/'01_Financial_Statements'!G5)-1)</f>
        <v>-0.17701819539070973</v>
      </c>
      <c r="I12" s="30">
        <f>(('01_Financial_Statements'!I22/'01_Financial_Statements'!H22)-1)-(('01_Financial_Statements'!I5/'01_Financial_Statements'!H5)-1)</f>
        <v>-0.19045904304224159</v>
      </c>
      <c r="J12" s="30">
        <f>(('01_Financial_Statements'!J22/'01_Financial_Statements'!I22)-1)-(('01_Financial_Statements'!J5/'01_Financial_Statements'!I5)-1)</f>
        <v>2.821497068926293E-2</v>
      </c>
      <c r="K12" s="30">
        <f>(('01_Financial_Statements'!K22/'01_Financial_Statements'!J22)-1)-(('01_Financial_Statements'!K5/'01_Financial_Statements'!J5)-1)</f>
        <v>-7.9958436818896583E-3</v>
      </c>
    </row>
    <row r="14" spans="1:11" ht="21" customHeight="1" x14ac:dyDescent="0.35">
      <c r="A14" s="63" t="s">
        <v>165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</row>
    <row r="15" spans="1:11" ht="15" x14ac:dyDescent="0.4">
      <c r="A15" s="16" t="s">
        <v>166</v>
      </c>
      <c r="B15" s="38">
        <f>('01_Financial_Statements'!B27/'01_Financial_Statements'!B6)*365</f>
        <v>107.2027972027972</v>
      </c>
      <c r="C15" s="38">
        <f>('01_Financial_Statements'!C27/'01_Financial_Statements'!C6)*365</f>
        <v>108.14814814814814</v>
      </c>
      <c r="D15" s="38">
        <f>('01_Financial_Statements'!D27/'01_Financial_Statements'!D6)*365</f>
        <v>105.96774193548387</v>
      </c>
      <c r="E15" s="38">
        <f>('01_Financial_Statements'!E27/'01_Financial_Statements'!E6)*365</f>
        <v>108.92670157068062</v>
      </c>
      <c r="F15" s="38">
        <f>('01_Financial_Statements'!F27/'01_Financial_Statements'!F6)*365</f>
        <v>108.65116279069767</v>
      </c>
      <c r="G15" s="38">
        <f>('01_Financial_Statements'!G27/'01_Financial_Statements'!G6)*365</f>
        <v>93.215384615384608</v>
      </c>
      <c r="H15" s="38">
        <f>('01_Financial_Statements'!H27/'01_Financial_Statements'!H6)*365</f>
        <v>83.930481283422466</v>
      </c>
      <c r="I15" s="38">
        <f>('01_Financial_Statements'!I27/'01_Financial_Statements'!I6)*365</f>
        <v>85.759312320916905</v>
      </c>
      <c r="J15" s="38">
        <f>('01_Financial_Statements'!J27/'01_Financial_Statements'!J6)*365</f>
        <v>86.309392265193381</v>
      </c>
      <c r="K15" s="38">
        <f>('01_Financial_Statements'!K27/'01_Financial_Statements'!K6)*365</f>
        <v>85.262467191601047</v>
      </c>
    </row>
    <row r="16" spans="1:11" ht="15" x14ac:dyDescent="0.4">
      <c r="A16" s="16" t="s">
        <v>167</v>
      </c>
      <c r="B16" s="18">
        <f>'01_Financial_Statements'!B27/'01_Financial_Statements'!B6</f>
        <v>0.2937062937062937</v>
      </c>
      <c r="C16" s="18">
        <f>'01_Financial_Statements'!C27/'01_Financial_Statements'!C6</f>
        <v>0.29629629629629628</v>
      </c>
      <c r="D16" s="18">
        <f>'01_Financial_Statements'!D27/'01_Financial_Statements'!D6</f>
        <v>0.29032258064516131</v>
      </c>
      <c r="E16" s="18">
        <f>'01_Financial_Statements'!E27/'01_Financial_Statements'!E6</f>
        <v>0.29842931937172773</v>
      </c>
      <c r="F16" s="18">
        <f>'01_Financial_Statements'!F27/'01_Financial_Statements'!F6</f>
        <v>0.29767441860465116</v>
      </c>
      <c r="G16" s="18">
        <f>'01_Financial_Statements'!G27/'01_Financial_Statements'!G6</f>
        <v>0.25538461538461538</v>
      </c>
      <c r="H16" s="18">
        <f>'01_Financial_Statements'!H27/'01_Financial_Statements'!H6</f>
        <v>0.22994652406417113</v>
      </c>
      <c r="I16" s="18">
        <f>'01_Financial_Statements'!I27/'01_Financial_Statements'!I6</f>
        <v>0.23495702005730659</v>
      </c>
      <c r="J16" s="18">
        <f>'01_Financial_Statements'!J27/'01_Financial_Statements'!J6</f>
        <v>0.23646408839779007</v>
      </c>
      <c r="K16" s="18">
        <f>'01_Financial_Statements'!K27/'01_Financial_Statements'!K6</f>
        <v>0.23359580052493439</v>
      </c>
    </row>
    <row r="17" spans="1:11" ht="21" customHeight="1" x14ac:dyDescent="0.35">
      <c r="A17" s="63" t="s">
        <v>168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</row>
    <row r="18" spans="1:11" ht="15" x14ac:dyDescent="0.4">
      <c r="A18" s="16" t="s">
        <v>169</v>
      </c>
      <c r="B18" s="37">
        <f t="shared" ref="B18:K18" si="0">B5+B10-B15</f>
        <v>60.420239699219906</v>
      </c>
      <c r="C18" s="37">
        <f t="shared" si="0"/>
        <v>59.851040157583171</v>
      </c>
      <c r="D18" s="37">
        <f t="shared" si="0"/>
        <v>54.654533565823868</v>
      </c>
      <c r="E18" s="37">
        <f t="shared" si="0"/>
        <v>53.527993024378134</v>
      </c>
      <c r="F18" s="37">
        <f t="shared" si="0"/>
        <v>55.673525344906437</v>
      </c>
      <c r="G18" s="37">
        <f t="shared" si="0"/>
        <v>87.567659583466622</v>
      </c>
      <c r="H18" s="37">
        <f t="shared" si="0"/>
        <v>80.476207790347161</v>
      </c>
      <c r="I18" s="37">
        <f t="shared" si="0"/>
        <v>70.311032951491228</v>
      </c>
      <c r="J18" s="37">
        <f t="shared" si="0"/>
        <v>71.991712707182316</v>
      </c>
      <c r="K18" s="37">
        <f t="shared" si="0"/>
        <v>71.309240014722945</v>
      </c>
    </row>
  </sheetData>
  <mergeCells count="5">
    <mergeCell ref="A4:K4"/>
    <mergeCell ref="A14:K14"/>
    <mergeCell ref="A1:K1"/>
    <mergeCell ref="A17:K17"/>
    <mergeCell ref="A9:K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6"/>
  <sheetViews>
    <sheetView workbookViewId="0">
      <pane xSplit="1" ySplit="3" topLeftCell="B4" activePane="bottomRight" state="frozen"/>
      <selection pane="topRight"/>
      <selection pane="bottomLeft"/>
      <selection pane="bottomRight" sqref="A1:K1"/>
    </sheetView>
  </sheetViews>
  <sheetFormatPr defaultRowHeight="14.5" x14ac:dyDescent="0.35"/>
  <cols>
    <col min="1" max="1" width="42" customWidth="1"/>
    <col min="2" max="11" width="13" customWidth="1"/>
  </cols>
  <sheetData>
    <row r="1" spans="1:11" ht="24" customHeight="1" x14ac:dyDescent="0.35">
      <c r="A1" s="48" t="s">
        <v>170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3" spans="1:11" ht="20" customHeight="1" x14ac:dyDescent="0.4">
      <c r="A3" s="7" t="s">
        <v>171</v>
      </c>
      <c r="B3" s="8" t="s">
        <v>65</v>
      </c>
      <c r="C3" s="8" t="s">
        <v>66</v>
      </c>
      <c r="D3" s="8" t="s">
        <v>67</v>
      </c>
      <c r="E3" s="8" t="s">
        <v>68</v>
      </c>
      <c r="F3" s="8" t="s">
        <v>69</v>
      </c>
      <c r="G3" s="8" t="s">
        <v>70</v>
      </c>
      <c r="H3" s="8" t="s">
        <v>71</v>
      </c>
      <c r="I3" s="8" t="s">
        <v>72</v>
      </c>
      <c r="J3" s="8" t="s">
        <v>73</v>
      </c>
      <c r="K3" s="8" t="s">
        <v>74</v>
      </c>
    </row>
    <row r="4" spans="1:11" ht="21" customHeight="1" x14ac:dyDescent="0.35">
      <c r="A4" s="63" t="s">
        <v>172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ht="15" x14ac:dyDescent="0.4">
      <c r="A5" s="16" t="s">
        <v>138</v>
      </c>
      <c r="B5" s="39">
        <f>'01_Financial_Statements'!B17</f>
        <v>2014</v>
      </c>
      <c r="C5" s="39">
        <f>'01_Financial_Statements'!C17</f>
        <v>2118</v>
      </c>
      <c r="D5" s="39">
        <f>'01_Financial_Statements'!D17</f>
        <v>2419</v>
      </c>
      <c r="E5" s="39">
        <f>'01_Financial_Statements'!E17</f>
        <v>2858</v>
      </c>
      <c r="F5" s="39">
        <f>'01_Financial_Statements'!F17</f>
        <v>3402</v>
      </c>
      <c r="G5" s="39">
        <f>'01_Financial_Statements'!G17</f>
        <v>3287</v>
      </c>
      <c r="H5" s="39">
        <f>'01_Financial_Statements'!H17</f>
        <v>4297</v>
      </c>
      <c r="I5" s="39">
        <f>'01_Financial_Statements'!I17</f>
        <v>5505</v>
      </c>
      <c r="J5" s="39">
        <f>'01_Financial_Statements'!J17</f>
        <v>5000</v>
      </c>
      <c r="K5" s="39">
        <f>'01_Financial_Statements'!K17</f>
        <v>5380</v>
      </c>
    </row>
    <row r="6" spans="1:11" ht="15" x14ac:dyDescent="0.4">
      <c r="A6" s="9" t="s">
        <v>173</v>
      </c>
      <c r="B6" s="25">
        <f>'01_Financial_Statements'!B11</f>
        <v>338</v>
      </c>
      <c r="C6" s="25">
        <f>'01_Financial_Statements'!C11</f>
        <v>361</v>
      </c>
      <c r="D6" s="25">
        <f>'01_Financial_Statements'!D11</f>
        <v>431</v>
      </c>
      <c r="E6" s="25">
        <f>'01_Financial_Statements'!E11</f>
        <v>781</v>
      </c>
      <c r="F6" s="25">
        <f>'01_Financial_Statements'!F11</f>
        <v>791</v>
      </c>
      <c r="G6" s="25">
        <f>'01_Financial_Statements'!G11</f>
        <v>816</v>
      </c>
      <c r="H6" s="25">
        <f>'01_Financial_Statements'!H11</f>
        <v>858</v>
      </c>
      <c r="I6" s="25">
        <f>'01_Financial_Statements'!I11</f>
        <v>910</v>
      </c>
      <c r="J6" s="25">
        <f>'01_Financial_Statements'!J11</f>
        <v>980</v>
      </c>
      <c r="K6" s="25">
        <f>'01_Financial_Statements'!K11</f>
        <v>1050</v>
      </c>
    </row>
    <row r="7" spans="1:11" ht="15" x14ac:dyDescent="0.4">
      <c r="A7" s="9" t="s">
        <v>174</v>
      </c>
      <c r="B7" s="25">
        <f>'01_Financial_Statements'!B14</f>
        <v>30</v>
      </c>
      <c r="C7" s="25">
        <f>'01_Financial_Statements'!C14</f>
        <v>35</v>
      </c>
      <c r="D7" s="25">
        <f>'01_Financial_Statements'!D14</f>
        <v>51</v>
      </c>
      <c r="E7" s="25">
        <f>'01_Financial_Statements'!E14</f>
        <v>102</v>
      </c>
      <c r="F7" s="25">
        <f>'01_Financial_Statements'!F14</f>
        <v>92</v>
      </c>
      <c r="G7" s="25">
        <f>'01_Financial_Statements'!G14</f>
        <v>96</v>
      </c>
      <c r="H7" s="25">
        <f>'01_Financial_Statements'!H14</f>
        <v>145</v>
      </c>
      <c r="I7" s="25">
        <f>'01_Financial_Statements'!I14</f>
        <v>170</v>
      </c>
      <c r="J7" s="25">
        <f>'01_Financial_Statements'!J14</f>
        <v>185</v>
      </c>
      <c r="K7" s="25">
        <f>'01_Financial_Statements'!K14</f>
        <v>190</v>
      </c>
    </row>
    <row r="8" spans="1:11" ht="15" x14ac:dyDescent="0.4">
      <c r="A8" s="9" t="s">
        <v>175</v>
      </c>
      <c r="B8" s="25">
        <f>-'01_Financial_Statements'!B13</f>
        <v>-225</v>
      </c>
      <c r="C8" s="25">
        <f>-'01_Financial_Statements'!C13</f>
        <v>-221</v>
      </c>
      <c r="D8" s="25">
        <f>-'01_Financial_Statements'!D13</f>
        <v>-233</v>
      </c>
      <c r="E8" s="25">
        <f>-'01_Financial_Statements'!E13</f>
        <v>-304</v>
      </c>
      <c r="F8" s="25">
        <f>-'01_Financial_Statements'!F13</f>
        <v>-303</v>
      </c>
      <c r="G8" s="25">
        <f>-'01_Financial_Statements'!G13</f>
        <v>-380</v>
      </c>
      <c r="H8" s="25">
        <f>-'01_Financial_Statements'!H13</f>
        <v>-387</v>
      </c>
      <c r="I8" s="25">
        <f>-'01_Financial_Statements'!I13</f>
        <v>-580</v>
      </c>
      <c r="J8" s="25">
        <f>-'01_Financial_Statements'!J13</f>
        <v>-620</v>
      </c>
      <c r="K8" s="25">
        <f>-'01_Financial_Statements'!K13</f>
        <v>-650</v>
      </c>
    </row>
    <row r="9" spans="1:11" ht="15" x14ac:dyDescent="0.4">
      <c r="A9" s="9" t="s">
        <v>176</v>
      </c>
      <c r="B9" s="25">
        <f>'01_Financial_Statements'!B33-(B5+B6+B7+B8)</f>
        <v>-107</v>
      </c>
      <c r="C9" s="25">
        <f>'01_Financial_Statements'!C33-(C5+C6+C7+C8)</f>
        <v>-43</v>
      </c>
      <c r="D9" s="25">
        <f>'01_Financial_Statements'!D33-(D5+D6+D7+D8)</f>
        <v>-268</v>
      </c>
      <c r="E9" s="25">
        <f>'01_Financial_Statements'!E33-(E5+E6+E7+E8)</f>
        <v>-387</v>
      </c>
      <c r="F9" s="25">
        <f>'01_Financial_Statements'!F33-(F5+F6+F7+F8)</f>
        <v>-299</v>
      </c>
      <c r="G9" s="25">
        <f>'01_Financial_Statements'!G33-(G5+G6+G7+G8)</f>
        <v>-919</v>
      </c>
      <c r="H9" s="25">
        <f>'01_Financial_Statements'!H33-(H5+H6+H7+H8)</f>
        <v>-720</v>
      </c>
      <c r="I9" s="25">
        <f>'01_Financial_Statements'!I33-(I5+I6+I7+I8)</f>
        <v>-185</v>
      </c>
      <c r="J9" s="25">
        <f>'01_Financial_Statements'!J33-(J5+J6+J7+J8)</f>
        <v>-395</v>
      </c>
      <c r="K9" s="25">
        <f>'01_Financial_Statements'!K33-(K5+K6+K7+K8)</f>
        <v>-520</v>
      </c>
    </row>
    <row r="10" spans="1:11" ht="15" x14ac:dyDescent="0.4">
      <c r="A10" s="16" t="s">
        <v>104</v>
      </c>
      <c r="B10" s="13">
        <f>'01_Financial_Statements'!B33</f>
        <v>2050</v>
      </c>
      <c r="C10" s="13">
        <f>'01_Financial_Statements'!C33</f>
        <v>2250</v>
      </c>
      <c r="D10" s="13">
        <f>'01_Financial_Statements'!D33</f>
        <v>2400</v>
      </c>
      <c r="E10" s="13">
        <f>'01_Financial_Statements'!E33</f>
        <v>3050</v>
      </c>
      <c r="F10" s="13">
        <f>'01_Financial_Statements'!F33</f>
        <v>3683</v>
      </c>
      <c r="G10" s="13">
        <f>'01_Financial_Statements'!G33</f>
        <v>2900</v>
      </c>
      <c r="H10" s="13">
        <f>'01_Financial_Statements'!H33</f>
        <v>4193</v>
      </c>
      <c r="I10" s="13">
        <f>'01_Financial_Statements'!I33</f>
        <v>5820</v>
      </c>
      <c r="J10" s="13">
        <f>'01_Financial_Statements'!J33</f>
        <v>5150</v>
      </c>
      <c r="K10" s="13">
        <f>'01_Financial_Statements'!K33</f>
        <v>5450</v>
      </c>
    </row>
    <row r="12" spans="1:11" ht="21" customHeight="1" x14ac:dyDescent="0.35">
      <c r="A12" s="63" t="s">
        <v>177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</row>
    <row r="13" spans="1:11" ht="15" x14ac:dyDescent="0.4">
      <c r="A13" s="16" t="s">
        <v>149</v>
      </c>
      <c r="B13" s="18">
        <f>'01_Financial_Statements'!B13/'01_Financial_Statements'!B15</f>
        <v>7.9113924050632917E-2</v>
      </c>
      <c r="C13" s="18">
        <f>'01_Financial_Statements'!C13/'01_Financial_Statements'!C15</f>
        <v>7.3106185908038371E-2</v>
      </c>
      <c r="D13" s="18">
        <f>'01_Financial_Statements'!D13/'01_Financial_Statements'!D15</f>
        <v>6.6268486916951086E-2</v>
      </c>
      <c r="E13" s="18">
        <f>'01_Financial_Statements'!E13/'01_Financial_Statements'!E15</f>
        <v>8.4845101869941389E-2</v>
      </c>
      <c r="F13" s="18">
        <f>'01_Financial_Statements'!F13/'01_Financial_Statements'!F15</f>
        <v>7.0860617399438733E-2</v>
      </c>
      <c r="G13" s="18">
        <f>'01_Financial_Statements'!G13/'01_Financial_Statements'!G15</f>
        <v>8.8972137672676185E-2</v>
      </c>
      <c r="H13" s="18">
        <f>'01_Financial_Statements'!H13/'01_Financial_Statements'!H15</f>
        <v>6.8568391211906443E-2</v>
      </c>
      <c r="I13" s="18">
        <f>'01_Financial_Statements'!I13/'01_Financial_Statements'!I15</f>
        <v>8.442503639010189E-2</v>
      </c>
      <c r="J13" s="18">
        <f>'01_Financial_Statements'!J13/'01_Financial_Statements'!J15</f>
        <v>9.8334655035685961E-2</v>
      </c>
      <c r="K13" s="18">
        <f>'01_Financial_Statements'!K13/'01_Financial_Statements'!K15</f>
        <v>9.7597597597597591E-2</v>
      </c>
    </row>
    <row r="14" spans="1:11" ht="15" x14ac:dyDescent="0.4">
      <c r="A14" s="16" t="s">
        <v>178</v>
      </c>
      <c r="B14" s="18">
        <f>'01_Financial_Statements'!B16/'01_Financial_Statements'!B15</f>
        <v>0.29184247538677921</v>
      </c>
      <c r="C14" s="18">
        <f>'01_Financial_Statements'!C16/'01_Financial_Statements'!C15</f>
        <v>0.29937148527952367</v>
      </c>
      <c r="D14" s="18">
        <f>'01_Financial_Statements'!D16/'01_Financial_Statements'!D15</f>
        <v>0.31200227531285551</v>
      </c>
      <c r="E14" s="18">
        <f>'01_Financial_Statements'!E16/'01_Financial_Statements'!E15</f>
        <v>0.2023444041306168</v>
      </c>
      <c r="F14" s="18">
        <f>'01_Financial_Statements'!F16/'01_Financial_Statements'!F15</f>
        <v>0.20439663236669786</v>
      </c>
      <c r="G14" s="18">
        <f>'01_Financial_Statements'!G16/'01_Financial_Statements'!G15</f>
        <v>0.23039100913135097</v>
      </c>
      <c r="H14" s="18">
        <f>'01_Financial_Statements'!H16/'01_Financial_Statements'!H15</f>
        <v>0.23866052445074415</v>
      </c>
      <c r="I14" s="18">
        <f>'01_Financial_Statements'!I16/'01_Financial_Statements'!I15</f>
        <v>0.19868995633187772</v>
      </c>
      <c r="J14" s="18">
        <f>'01_Financial_Statements'!J16/'01_Financial_Statements'!J15</f>
        <v>0.20697858842188738</v>
      </c>
      <c r="K14" s="18">
        <f>'01_Financial_Statements'!K16/'01_Financial_Statements'!K15</f>
        <v>0.19219219219219219</v>
      </c>
    </row>
    <row r="15" spans="1:11" ht="15" x14ac:dyDescent="0.4">
      <c r="A15" s="16" t="s">
        <v>179</v>
      </c>
      <c r="B15" s="18">
        <f>'01_Financial_Statements'!B11/'01_Financial_Statements'!B24</f>
        <v>8.4500000000000006E-2</v>
      </c>
      <c r="C15" s="18">
        <f>'01_Financial_Statements'!C11/'01_Financial_Statements'!C24</f>
        <v>8.395348837209303E-2</v>
      </c>
      <c r="D15" s="18">
        <f>'01_Financial_Statements'!D11/'01_Financial_Statements'!D24</f>
        <v>9.1702127659574473E-2</v>
      </c>
      <c r="E15" s="18">
        <f>'01_Financial_Statements'!E11/'01_Financial_Statements'!E24</f>
        <v>0.15313725490196078</v>
      </c>
      <c r="F15" s="18">
        <f>'01_Financial_Statements'!F11/'01_Financial_Statements'!F24</f>
        <v>0.15066666666666667</v>
      </c>
      <c r="G15" s="18">
        <f>'01_Financial_Statements'!G11/'01_Financial_Statements'!G24</f>
        <v>0.14571428571428571</v>
      </c>
      <c r="H15" s="18">
        <f>'01_Financial_Statements'!H11/'01_Financial_Statements'!H24</f>
        <v>0.13838709677419356</v>
      </c>
      <c r="I15" s="18">
        <f>'01_Financial_Statements'!I11/'01_Financial_Statements'!I24</f>
        <v>0.11097560975609756</v>
      </c>
      <c r="J15" s="18">
        <f>'01_Financial_Statements'!J11/'01_Financial_Statements'!J24</f>
        <v>0.10652173913043478</v>
      </c>
      <c r="K15" s="18">
        <f>'01_Financial_Statements'!K11/'01_Financial_Statements'!K24</f>
        <v>0.10714285714285714</v>
      </c>
    </row>
    <row r="16" spans="1:11" ht="15" x14ac:dyDescent="0.4">
      <c r="A16" s="16" t="s">
        <v>180</v>
      </c>
      <c r="B16" s="24">
        <f>'01_Financial_Statements'!B12/'01_Financial_Statements'!B14</f>
        <v>88.3</v>
      </c>
      <c r="C16" s="24">
        <f>'01_Financial_Statements'!C12/'01_Financial_Statements'!C14</f>
        <v>81.057142857142864</v>
      </c>
      <c r="D16" s="24">
        <f>'01_Financial_Statements'!D12/'01_Financial_Statements'!D14</f>
        <v>65.372549019607845</v>
      </c>
      <c r="E16" s="24">
        <f>'01_Financial_Statements'!E12/'01_Financial_Statements'!E14</f>
        <v>33.147058823529413</v>
      </c>
      <c r="F16" s="24">
        <f>'01_Financial_Statements'!F12/'01_Financial_Statements'!F14</f>
        <v>44.184782608695649</v>
      </c>
      <c r="G16" s="24">
        <f>'01_Financial_Statements'!G12/'01_Financial_Statements'!G14</f>
        <v>41.53125</v>
      </c>
      <c r="H16" s="24">
        <f>'01_Financial_Statements'!H12/'01_Financial_Statements'!H14</f>
        <v>37.255172413793105</v>
      </c>
      <c r="I16" s="24">
        <f>'01_Financial_Statements'!I12/'01_Financial_Statements'!I14</f>
        <v>38</v>
      </c>
      <c r="J16" s="24">
        <f>'01_Financial_Statements'!J12/'01_Financial_Statements'!J14</f>
        <v>31.72972972972973</v>
      </c>
      <c r="K16" s="24">
        <f>'01_Financial_Statements'!K12/'01_Financial_Statements'!K14</f>
        <v>32.631578947368418</v>
      </c>
    </row>
  </sheetData>
  <mergeCells count="3">
    <mergeCell ref="A1:K1"/>
    <mergeCell ref="A12:K12"/>
    <mergeCell ref="A4:K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"/>
  <sheetViews>
    <sheetView workbookViewId="0">
      <pane xSplit="1" ySplit="3" topLeftCell="B4" activePane="bottomRight" state="frozen"/>
      <selection pane="topRight"/>
      <selection pane="bottomLeft"/>
      <selection pane="bottomRight" sqref="A1:K1"/>
    </sheetView>
  </sheetViews>
  <sheetFormatPr defaultRowHeight="14.5" x14ac:dyDescent="0.35"/>
  <cols>
    <col min="1" max="1" width="42" customWidth="1"/>
    <col min="2" max="11" width="13" customWidth="1"/>
  </cols>
  <sheetData>
    <row r="1" spans="1:11" ht="24" customHeight="1" x14ac:dyDescent="0.35">
      <c r="A1" s="48" t="s">
        <v>181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3" spans="1:11" ht="20" customHeight="1" x14ac:dyDescent="0.4">
      <c r="A3" s="7" t="s">
        <v>182</v>
      </c>
      <c r="B3" s="8" t="s">
        <v>65</v>
      </c>
      <c r="C3" s="8" t="s">
        <v>66</v>
      </c>
      <c r="D3" s="8" t="s">
        <v>67</v>
      </c>
      <c r="E3" s="8" t="s">
        <v>68</v>
      </c>
      <c r="F3" s="8" t="s">
        <v>69</v>
      </c>
      <c r="G3" s="8" t="s">
        <v>70</v>
      </c>
      <c r="H3" s="8" t="s">
        <v>71</v>
      </c>
      <c r="I3" s="8" t="s">
        <v>72</v>
      </c>
      <c r="J3" s="8" t="s">
        <v>73</v>
      </c>
      <c r="K3" s="8" t="s">
        <v>74</v>
      </c>
    </row>
    <row r="4" spans="1:11" ht="21" customHeight="1" x14ac:dyDescent="0.35">
      <c r="A4" s="63" t="s">
        <v>183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ht="15" x14ac:dyDescent="0.4">
      <c r="A5" s="16" t="s">
        <v>184</v>
      </c>
      <c r="B5" s="18">
        <f>'01_Financial_Statements'!B17/'01_Financial_Statements'!B5</f>
        <v>0.13371398220687825</v>
      </c>
      <c r="C5" s="18">
        <f>'01_Financial_Statements'!C17/'01_Financial_Statements'!C5</f>
        <v>0.12590655094519082</v>
      </c>
      <c r="D5" s="18">
        <f>'01_Financial_Statements'!D17/'01_Financial_Statements'!D5</f>
        <v>0.12572765072765071</v>
      </c>
      <c r="E5" s="18">
        <f>'01_Financial_Statements'!E17/'01_Financial_Statements'!E5</f>
        <v>0.14140814407995647</v>
      </c>
      <c r="F5" s="18">
        <f>'01_Financial_Statements'!F17/'01_Financial_Statements'!F5</f>
        <v>0.15668032975636714</v>
      </c>
      <c r="G5" s="18">
        <f>'01_Financial_Statements'!G17/'01_Financial_Statements'!G5</f>
        <v>0.11295144496752689</v>
      </c>
      <c r="H5" s="18">
        <f>'01_Financial_Statements'!H17/'01_Financial_Statements'!H5</f>
        <v>0.1245904491287077</v>
      </c>
      <c r="I5" s="18">
        <f>'01_Financial_Statements'!I17/'01_Financial_Statements'!I5</f>
        <v>0.15509226651641075</v>
      </c>
      <c r="J5" s="18">
        <f>'01_Financial_Statements'!J17/'01_Financial_Statements'!J5</f>
        <v>0.13812154696132597</v>
      </c>
      <c r="K5" s="18">
        <f>'01_Financial_Statements'!K17/'01_Financial_Statements'!K5</f>
        <v>0.14102228047182175</v>
      </c>
    </row>
    <row r="6" spans="1:11" ht="15" x14ac:dyDescent="0.4">
      <c r="A6" s="16" t="s">
        <v>185</v>
      </c>
      <c r="B6" s="24">
        <v>1.3</v>
      </c>
      <c r="C6" s="24">
        <f>'01_Financial_Statements'!C5/AVERAGE('01_Financial_Statements'!B26:'01_Financial_Statements'!C26)</f>
        <v>1.3799835931091058</v>
      </c>
      <c r="D6" s="24">
        <f>'01_Financial_Statements'!D5/AVERAGE('01_Financial_Statements'!C26:'01_Financial_Statements'!D26)</f>
        <v>1.4257132271211559</v>
      </c>
      <c r="E6" s="24">
        <f>'01_Financial_Statements'!E5/AVERAGE('01_Financial_Statements'!D26:'01_Financial_Statements'!E26)</f>
        <v>1.3828942866917551</v>
      </c>
      <c r="F6" s="24">
        <f>'01_Financial_Statements'!F5/AVERAGE('01_Financial_Statements'!E26:'01_Financial_Statements'!F26)</f>
        <v>1.3621706398996236</v>
      </c>
      <c r="G6" s="24">
        <f>'01_Financial_Statements'!G5/AVERAGE('01_Financial_Statements'!F26:'01_Financial_Statements'!G26)</f>
        <v>1.51370611183355</v>
      </c>
      <c r="H6" s="24">
        <f>'01_Financial_Statements'!H5/AVERAGE('01_Financial_Statements'!G26:'01_Financial_Statements'!H26)</f>
        <v>1.4962689804772233</v>
      </c>
      <c r="I6" s="24">
        <f>'01_Financial_Statements'!I5/AVERAGE('01_Financial_Statements'!H26:'01_Financial_Statements'!I26)</f>
        <v>1.3757751937984497</v>
      </c>
      <c r="J6" s="24">
        <f>'01_Financial_Statements'!J5/AVERAGE('01_Financial_Statements'!I26:'01_Financial_Statements'!J26)</f>
        <v>1.2875689133914281</v>
      </c>
      <c r="K6" s="24">
        <f>'01_Financial_Statements'!K5/AVERAGE('01_Financial_Statements'!J26:'01_Financial_Statements'!K26)</f>
        <v>1.2795572698306221</v>
      </c>
    </row>
    <row r="7" spans="1:11" ht="15" x14ac:dyDescent="0.4">
      <c r="A7" s="16" t="s">
        <v>186</v>
      </c>
      <c r="B7" s="24">
        <v>1.52</v>
      </c>
      <c r="C7" s="24">
        <f>AVERAGE('01_Financial_Statements'!B26:'01_Financial_Statements'!C26)/AVERAGE('01_Financial_Statements'!B30:'01_Financial_Statements'!C30)</f>
        <v>1.5067985166872682</v>
      </c>
      <c r="D7" s="24">
        <f>AVERAGE('01_Financial_Statements'!C26:'01_Financial_Statements'!D26)/AVERAGE('01_Financial_Statements'!C30:'01_Financial_Statements'!D30)</f>
        <v>1.5128923766816142</v>
      </c>
      <c r="E7" s="24">
        <f>AVERAGE('01_Financial_Statements'!D26:'01_Financial_Statements'!E26)/AVERAGE('01_Financial_Statements'!D30:'01_Financial_Statements'!E30)</f>
        <v>1.5200208008320333</v>
      </c>
      <c r="F7" s="24">
        <f>AVERAGE('01_Financial_Statements'!E26:'01_Financial_Statements'!F26)/AVERAGE('01_Financial_Statements'!E30:'01_Financial_Statements'!F30)</f>
        <v>1.530484877580413</v>
      </c>
      <c r="G7" s="24">
        <f>AVERAGE('01_Financial_Statements'!F26:'01_Financial_Statements'!G26)/AVERAGE('01_Financial_Statements'!F30:'01_Financial_Statements'!G30)</f>
        <v>1.5227722772277228</v>
      </c>
      <c r="H7" s="24">
        <f>AVERAGE('01_Financial_Statements'!G26:'01_Financial_Statements'!H26)/AVERAGE('01_Financial_Statements'!G30:'01_Financial_Statements'!H30)</f>
        <v>1.4967532467532467</v>
      </c>
      <c r="I7" s="24">
        <f>AVERAGE('01_Financial_Statements'!H26:'01_Financial_Statements'!I26)/AVERAGE('01_Financial_Statements'!H30:'01_Financial_Statements'!I30)</f>
        <v>1.4596888260254597</v>
      </c>
      <c r="J7" s="24">
        <f>AVERAGE('01_Financial_Statements'!I26:'01_Financial_Statements'!J26)/AVERAGE('01_Financial_Statements'!I30:'01_Financial_Statements'!J30)</f>
        <v>1.4344387755102042</v>
      </c>
      <c r="K7" s="24">
        <f>AVERAGE('01_Financial_Statements'!J26:'01_Financial_Statements'!K26)/AVERAGE('01_Financial_Statements'!J30:'01_Financial_Statements'!K30)</f>
        <v>1.4248506571087216</v>
      </c>
    </row>
    <row r="8" spans="1:11" ht="15" x14ac:dyDescent="0.4">
      <c r="A8" s="16" t="s">
        <v>187</v>
      </c>
      <c r="B8" s="27">
        <f t="shared" ref="B8:K8" si="0">B5*B6*B7</f>
        <v>0.2642188288407914</v>
      </c>
      <c r="C8" s="27">
        <f t="shared" si="0"/>
        <v>0.2618046971569839</v>
      </c>
      <c r="D8" s="27">
        <f t="shared" si="0"/>
        <v>0.27118834080717485</v>
      </c>
      <c r="E8" s="27">
        <f t="shared" si="0"/>
        <v>0.29724388975559024</v>
      </c>
      <c r="F8" s="27">
        <f t="shared" si="0"/>
        <v>0.32664426308209316</v>
      </c>
      <c r="G8" s="27">
        <f t="shared" si="0"/>
        <v>0.26035643564356437</v>
      </c>
      <c r="H8" s="27">
        <f t="shared" si="0"/>
        <v>0.27902597402597401</v>
      </c>
      <c r="I8" s="27">
        <f t="shared" si="0"/>
        <v>0.31145685997171146</v>
      </c>
      <c r="J8" s="27">
        <f t="shared" si="0"/>
        <v>0.25510204081632659</v>
      </c>
      <c r="K8" s="27">
        <f t="shared" si="0"/>
        <v>0.2571087216248506</v>
      </c>
    </row>
    <row r="10" spans="1:11" ht="21" customHeight="1" x14ac:dyDescent="0.35">
      <c r="A10" s="63" t="s">
        <v>188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</row>
    <row r="11" spans="1:11" ht="15" x14ac:dyDescent="0.4">
      <c r="A11" s="16" t="s">
        <v>189</v>
      </c>
      <c r="B11" s="25">
        <f>'01_Financial_Statements'!B12*(1-('01_Financial_Statements'!B16/'01_Financial_Statements'!B15))</f>
        <v>1875.909282700422</v>
      </c>
      <c r="C11" s="25">
        <f>'01_Financial_Statements'!C12*(1-('01_Financial_Statements'!C16/'01_Financial_Statements'!C15))</f>
        <v>1987.6830962619911</v>
      </c>
      <c r="D11" s="25">
        <f>'01_Financial_Statements'!D12*(1-('01_Financial_Statements'!D16/'01_Financial_Statements'!D15))</f>
        <v>2293.7844141069395</v>
      </c>
      <c r="E11" s="25">
        <f>'01_Financial_Statements'!E12*(1-('01_Financial_Statements'!E16/'01_Financial_Statements'!E15))</f>
        <v>2696.8735696343847</v>
      </c>
      <c r="F11" s="25">
        <f>'01_Financial_Statements'!F12*(1-('01_Financial_Statements'!F16/'01_Financial_Statements'!F15))</f>
        <v>3234.1276894293728</v>
      </c>
      <c r="G11" s="25">
        <f>'01_Financial_Statements'!G12*(1-('01_Financial_Statements'!G16/'01_Financial_Statements'!G15))</f>
        <v>3068.4310465933036</v>
      </c>
      <c r="H11" s="25">
        <f>'01_Financial_Statements'!H12*(1-('01_Financial_Statements'!H16/'01_Financial_Statements'!H15))</f>
        <v>4112.7558469170799</v>
      </c>
      <c r="I11" s="25">
        <f>'01_Financial_Statements'!I12*(1-('01_Financial_Statements'!I16/'01_Financial_Statements'!I15))</f>
        <v>5176.4628820960697</v>
      </c>
      <c r="J11" s="25">
        <f>'01_Financial_Statements'!J12*(1-('01_Financial_Statements'!J16/'01_Financial_Statements'!J15))</f>
        <v>4655.0356859635212</v>
      </c>
      <c r="K11" s="25">
        <f>'01_Financial_Statements'!K12*(1-('01_Financial_Statements'!K16/'01_Financial_Statements'!K15))</f>
        <v>5008.4084084084088</v>
      </c>
    </row>
    <row r="12" spans="1:11" ht="15" x14ac:dyDescent="0.4">
      <c r="A12" s="16" t="s">
        <v>190</v>
      </c>
      <c r="B12" s="25">
        <f>'01_Financial_Statements'!B30+'01_Financial_Statements'!B28-'01_Financial_Statements'!B20</f>
        <v>7040</v>
      </c>
      <c r="C12" s="25">
        <f>'01_Financial_Statements'!C30+'01_Financial_Statements'!C28-'01_Financial_Statements'!C20</f>
        <v>7740</v>
      </c>
      <c r="D12" s="25">
        <f>'01_Financial_Statements'!D30+'01_Financial_Statements'!D28-'01_Financial_Statements'!D20</f>
        <v>8500</v>
      </c>
      <c r="E12" s="25">
        <f>'01_Financial_Statements'!E30+'01_Financial_Statements'!E28-'01_Financial_Statements'!E20</f>
        <v>9030</v>
      </c>
      <c r="F12" s="25">
        <f>'01_Financial_Statements'!F30+'01_Financial_Statements'!F28-'01_Financial_Statements'!F20</f>
        <v>9650</v>
      </c>
      <c r="G12" s="25">
        <f>'01_Financial_Statements'!G30+'01_Financial_Statements'!G28-'01_Financial_Statements'!G20</f>
        <v>13000</v>
      </c>
      <c r="H12" s="25">
        <f>'01_Financial_Statements'!H30+'01_Financial_Statements'!H28-'01_Financial_Statements'!H20</f>
        <v>14700</v>
      </c>
      <c r="I12" s="25">
        <f>'01_Financial_Statements'!I30+'01_Financial_Statements'!I28-'01_Financial_Statements'!I20</f>
        <v>16850</v>
      </c>
      <c r="J12" s="25">
        <f>'01_Financial_Statements'!J30+'01_Financial_Statements'!J28-'01_Financial_Statements'!J20</f>
        <v>18300</v>
      </c>
      <c r="K12" s="25">
        <f>'01_Financial_Statements'!K30+'01_Financial_Statements'!K28-'01_Financial_Statements'!K20</f>
        <v>19350</v>
      </c>
    </row>
    <row r="13" spans="1:11" ht="15" x14ac:dyDescent="0.4">
      <c r="A13" s="16" t="s">
        <v>191</v>
      </c>
      <c r="B13" s="27">
        <f t="shared" ref="B13:K13" si="1">B11/B12</f>
        <v>0.26646438674721901</v>
      </c>
      <c r="C13" s="27">
        <f t="shared" si="1"/>
        <v>0.25680660158423657</v>
      </c>
      <c r="D13" s="27">
        <f t="shared" si="1"/>
        <v>0.26985698989493406</v>
      </c>
      <c r="E13" s="27">
        <f t="shared" si="1"/>
        <v>0.2986570951976063</v>
      </c>
      <c r="F13" s="27">
        <f t="shared" si="1"/>
        <v>0.33514276574397645</v>
      </c>
      <c r="G13" s="27">
        <f t="shared" si="1"/>
        <v>0.23603315743025413</v>
      </c>
      <c r="H13" s="27">
        <f t="shared" si="1"/>
        <v>0.27977930931408707</v>
      </c>
      <c r="I13" s="27">
        <f t="shared" si="1"/>
        <v>0.30720847964961839</v>
      </c>
      <c r="J13" s="27">
        <f t="shared" si="1"/>
        <v>0.254373534752105</v>
      </c>
      <c r="K13" s="27">
        <f t="shared" si="1"/>
        <v>0.25883247588673947</v>
      </c>
    </row>
    <row r="14" spans="1:11" ht="15" x14ac:dyDescent="0.4">
      <c r="A14" s="16" t="s">
        <v>192</v>
      </c>
      <c r="B14" s="27">
        <f>'01_Financial_Statements'!B12/('01_Financial_Statements'!B26-'01_Financial_Statements'!B27-'01_Financial_Statements'!B29)</f>
        <v>0.32148058252427186</v>
      </c>
      <c r="C14" s="27">
        <f>'01_Financial_Statements'!C12/('01_Financial_Statements'!C26-'01_Financial_Statements'!C27-'01_Financial_Statements'!C29)</f>
        <v>0.31210121012101211</v>
      </c>
      <c r="D14" s="27">
        <f>'01_Financial_Statements'!D12/('01_Financial_Statements'!D26-'01_Financial_Statements'!D27-'01_Financial_Statements'!D29)</f>
        <v>0.33339999999999997</v>
      </c>
      <c r="E14" s="27">
        <f>'01_Financial_Statements'!E12/('01_Financial_Statements'!E26-'01_Financial_Statements'!E27-'01_Financial_Statements'!E29)</f>
        <v>0.3180620884289746</v>
      </c>
      <c r="F14" s="27">
        <f>'01_Financial_Statements'!F12/('01_Financial_Statements'!F26-'01_Financial_Statements'!F27-'01_Financial_Statements'!F29)</f>
        <v>0.34595744680851065</v>
      </c>
      <c r="G14" s="27">
        <f>'01_Financial_Statements'!G12/('01_Financial_Statements'!G26-'01_Financial_Statements'!G27-'01_Financial_Statements'!G29)</f>
        <v>0.2588961038961039</v>
      </c>
      <c r="H14" s="27">
        <f>'01_Financial_Statements'!H12/('01_Financial_Statements'!H26-'01_Financial_Statements'!H27-'01_Financial_Statements'!H29)</f>
        <v>0.30348314606741572</v>
      </c>
      <c r="I14" s="27">
        <f>'01_Financial_Statements'!I12/('01_Financial_Statements'!I26-'01_Financial_Statements'!I27-'01_Financial_Statements'!I29)</f>
        <v>0.31283292978208233</v>
      </c>
      <c r="J14" s="27">
        <f>'01_Financial_Statements'!J12/('01_Financial_Statements'!J26-'01_Financial_Statements'!J27-'01_Financial_Statements'!J29)</f>
        <v>0.2638202247191011</v>
      </c>
      <c r="K14" s="27">
        <f>'01_Financial_Statements'!K12/('01_Financial_Statements'!K26-'01_Financial_Statements'!K27-'01_Financial_Statements'!K29)</f>
        <v>0.26439232409381663</v>
      </c>
    </row>
  </sheetData>
  <mergeCells count="3">
    <mergeCell ref="A1:K1"/>
    <mergeCell ref="A4:K4"/>
    <mergeCell ref="A10:K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1"/>
  <sheetViews>
    <sheetView workbookViewId="0">
      <pane xSplit="1" ySplit="3" topLeftCell="B18" activePane="bottomRight" state="frozen"/>
      <selection pane="topRight"/>
      <selection pane="bottomLeft"/>
      <selection pane="bottomRight" activeCell="A28" sqref="A28:K34"/>
    </sheetView>
  </sheetViews>
  <sheetFormatPr defaultRowHeight="14.5" x14ac:dyDescent="0.35"/>
  <cols>
    <col min="1" max="1" width="42" customWidth="1"/>
    <col min="2" max="11" width="13" customWidth="1"/>
  </cols>
  <sheetData>
    <row r="1" spans="1:11" ht="24" customHeight="1" x14ac:dyDescent="0.35">
      <c r="A1" s="48" t="s">
        <v>203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3" spans="1:11" ht="21" customHeight="1" x14ac:dyDescent="0.35">
      <c r="A3" s="63" t="s">
        <v>193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 x14ac:dyDescent="0.35">
      <c r="A4" s="68" t="s">
        <v>194</v>
      </c>
      <c r="B4" s="69"/>
      <c r="C4" s="69"/>
      <c r="D4" s="69"/>
      <c r="E4" s="69"/>
      <c r="F4" s="69"/>
      <c r="G4" s="69"/>
      <c r="H4" s="69"/>
      <c r="I4" s="69"/>
      <c r="J4" s="69"/>
      <c r="K4" s="70"/>
    </row>
    <row r="5" spans="1:11" x14ac:dyDescent="0.35">
      <c r="A5" s="71"/>
      <c r="B5" s="72"/>
      <c r="C5" s="72"/>
      <c r="D5" s="72"/>
      <c r="E5" s="72"/>
      <c r="F5" s="72"/>
      <c r="G5" s="72"/>
      <c r="H5" s="72"/>
      <c r="I5" s="72"/>
      <c r="J5" s="72"/>
      <c r="K5" s="73"/>
    </row>
    <row r="6" spans="1:11" x14ac:dyDescent="0.35">
      <c r="A6" s="71"/>
      <c r="B6" s="72"/>
      <c r="C6" s="72"/>
      <c r="D6" s="72"/>
      <c r="E6" s="72"/>
      <c r="F6" s="72"/>
      <c r="G6" s="72"/>
      <c r="H6" s="72"/>
      <c r="I6" s="72"/>
      <c r="J6" s="72"/>
      <c r="K6" s="73"/>
    </row>
    <row r="7" spans="1:11" x14ac:dyDescent="0.35">
      <c r="A7" s="74"/>
      <c r="B7" s="75"/>
      <c r="C7" s="75"/>
      <c r="D7" s="75"/>
      <c r="E7" s="75"/>
      <c r="F7" s="75"/>
      <c r="G7" s="75"/>
      <c r="H7" s="75"/>
      <c r="I7" s="75"/>
      <c r="J7" s="75"/>
      <c r="K7" s="76"/>
    </row>
    <row r="9" spans="1:11" ht="21" customHeight="1" x14ac:dyDescent="0.35">
      <c r="A9" s="63" t="s">
        <v>195</v>
      </c>
      <c r="B9" s="43"/>
      <c r="C9" s="43"/>
      <c r="D9" s="43"/>
      <c r="E9" s="43"/>
      <c r="F9" s="43"/>
      <c r="G9" s="43"/>
      <c r="H9" s="43"/>
      <c r="I9" s="43"/>
      <c r="J9" s="43"/>
      <c r="K9" s="43"/>
    </row>
    <row r="10" spans="1:11" x14ac:dyDescent="0.35">
      <c r="A10" s="68" t="s">
        <v>196</v>
      </c>
      <c r="B10" s="69"/>
      <c r="C10" s="69"/>
      <c r="D10" s="69"/>
      <c r="E10" s="69"/>
      <c r="F10" s="69"/>
      <c r="G10" s="69"/>
      <c r="H10" s="69"/>
      <c r="I10" s="69"/>
      <c r="J10" s="69"/>
      <c r="K10" s="70"/>
    </row>
    <row r="11" spans="1:11" x14ac:dyDescent="0.35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3"/>
    </row>
    <row r="12" spans="1:11" x14ac:dyDescent="0.35">
      <c r="A12" s="71"/>
      <c r="B12" s="72"/>
      <c r="C12" s="72"/>
      <c r="D12" s="72"/>
      <c r="E12" s="72"/>
      <c r="F12" s="72"/>
      <c r="G12" s="72"/>
      <c r="H12" s="72"/>
      <c r="I12" s="72"/>
      <c r="J12" s="72"/>
      <c r="K12" s="73"/>
    </row>
    <row r="13" spans="1:11" x14ac:dyDescent="0.35">
      <c r="A13" s="74"/>
      <c r="B13" s="75"/>
      <c r="C13" s="75"/>
      <c r="D13" s="75"/>
      <c r="E13" s="75"/>
      <c r="F13" s="75"/>
      <c r="G13" s="75"/>
      <c r="H13" s="75"/>
      <c r="I13" s="75"/>
      <c r="J13" s="75"/>
      <c r="K13" s="76"/>
    </row>
    <row r="15" spans="1:11" ht="21" customHeight="1" x14ac:dyDescent="0.35">
      <c r="A15" s="63" t="s">
        <v>197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</row>
    <row r="16" spans="1:11" x14ac:dyDescent="0.35">
      <c r="A16" s="68" t="s">
        <v>198</v>
      </c>
      <c r="B16" s="69"/>
      <c r="C16" s="69"/>
      <c r="D16" s="69"/>
      <c r="E16" s="69"/>
      <c r="F16" s="69"/>
      <c r="G16" s="69"/>
      <c r="H16" s="69"/>
      <c r="I16" s="69"/>
      <c r="J16" s="69"/>
      <c r="K16" s="70"/>
    </row>
    <row r="17" spans="1:11" x14ac:dyDescent="0.35">
      <c r="A17" s="71"/>
      <c r="B17" s="72"/>
      <c r="C17" s="72"/>
      <c r="D17" s="72"/>
      <c r="E17" s="72"/>
      <c r="F17" s="72"/>
      <c r="G17" s="72"/>
      <c r="H17" s="72"/>
      <c r="I17" s="72"/>
      <c r="J17" s="72"/>
      <c r="K17" s="73"/>
    </row>
    <row r="18" spans="1:11" x14ac:dyDescent="0.35">
      <c r="A18" s="71"/>
      <c r="B18" s="72"/>
      <c r="C18" s="72"/>
      <c r="D18" s="72"/>
      <c r="E18" s="72"/>
      <c r="F18" s="72"/>
      <c r="G18" s="72"/>
      <c r="H18" s="72"/>
      <c r="I18" s="72"/>
      <c r="J18" s="72"/>
      <c r="K18" s="73"/>
    </row>
    <row r="19" spans="1:11" x14ac:dyDescent="0.35">
      <c r="A19" s="74"/>
      <c r="B19" s="75"/>
      <c r="C19" s="75"/>
      <c r="D19" s="75"/>
      <c r="E19" s="75"/>
      <c r="F19" s="75"/>
      <c r="G19" s="75"/>
      <c r="H19" s="75"/>
      <c r="I19" s="75"/>
      <c r="J19" s="75"/>
      <c r="K19" s="76"/>
    </row>
    <row r="21" spans="1:11" ht="21" customHeight="1" x14ac:dyDescent="0.35">
      <c r="A21" s="63" t="s">
        <v>199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</row>
    <row r="22" spans="1:11" x14ac:dyDescent="0.35">
      <c r="A22" s="68" t="s">
        <v>200</v>
      </c>
      <c r="B22" s="69"/>
      <c r="C22" s="69"/>
      <c r="D22" s="69"/>
      <c r="E22" s="69"/>
      <c r="F22" s="69"/>
      <c r="G22" s="69"/>
      <c r="H22" s="69"/>
      <c r="I22" s="69"/>
      <c r="J22" s="69"/>
      <c r="K22" s="70"/>
    </row>
    <row r="23" spans="1:11" x14ac:dyDescent="0.35">
      <c r="A23" s="71"/>
      <c r="B23" s="72"/>
      <c r="C23" s="72"/>
      <c r="D23" s="72"/>
      <c r="E23" s="72"/>
      <c r="F23" s="72"/>
      <c r="G23" s="72"/>
      <c r="H23" s="72"/>
      <c r="I23" s="72"/>
      <c r="J23" s="72"/>
      <c r="K23" s="73"/>
    </row>
    <row r="24" spans="1:11" x14ac:dyDescent="0.35">
      <c r="A24" s="71"/>
      <c r="B24" s="72"/>
      <c r="C24" s="72"/>
      <c r="D24" s="72"/>
      <c r="E24" s="72"/>
      <c r="F24" s="72"/>
      <c r="G24" s="72"/>
      <c r="H24" s="72"/>
      <c r="I24" s="72"/>
      <c r="J24" s="72"/>
      <c r="K24" s="73"/>
    </row>
    <row r="25" spans="1:11" x14ac:dyDescent="0.35">
      <c r="A25" s="74"/>
      <c r="B25" s="75"/>
      <c r="C25" s="75"/>
      <c r="D25" s="75"/>
      <c r="E25" s="75"/>
      <c r="F25" s="75"/>
      <c r="G25" s="75"/>
      <c r="H25" s="75"/>
      <c r="I25" s="75"/>
      <c r="J25" s="75"/>
      <c r="K25" s="76"/>
    </row>
    <row r="27" spans="1:11" ht="21" customHeight="1" x14ac:dyDescent="0.35">
      <c r="A27" s="63" t="s">
        <v>201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</row>
    <row r="28" spans="1:11" x14ac:dyDescent="0.35">
      <c r="A28" s="68" t="s">
        <v>202</v>
      </c>
      <c r="B28" s="69"/>
      <c r="C28" s="69"/>
      <c r="D28" s="69"/>
      <c r="E28" s="69"/>
      <c r="F28" s="69"/>
      <c r="G28" s="69"/>
      <c r="H28" s="69"/>
      <c r="I28" s="69"/>
      <c r="J28" s="69"/>
      <c r="K28" s="70"/>
    </row>
    <row r="29" spans="1:11" x14ac:dyDescent="0.35">
      <c r="A29" s="71"/>
      <c r="B29" s="72"/>
      <c r="C29" s="72"/>
      <c r="D29" s="72"/>
      <c r="E29" s="72"/>
      <c r="F29" s="72"/>
      <c r="G29" s="72"/>
      <c r="H29" s="72"/>
      <c r="I29" s="72"/>
      <c r="J29" s="72"/>
      <c r="K29" s="73"/>
    </row>
    <row r="30" spans="1:11" x14ac:dyDescent="0.35">
      <c r="A30" s="71"/>
      <c r="B30" s="72"/>
      <c r="C30" s="72"/>
      <c r="D30" s="72"/>
      <c r="E30" s="72"/>
      <c r="F30" s="72"/>
      <c r="G30" s="72"/>
      <c r="H30" s="72"/>
      <c r="I30" s="72"/>
      <c r="J30" s="72"/>
      <c r="K30" s="73"/>
    </row>
    <row r="31" spans="1:11" x14ac:dyDescent="0.35">
      <c r="A31" s="74"/>
      <c r="B31" s="75"/>
      <c r="C31" s="75"/>
      <c r="D31" s="75"/>
      <c r="E31" s="75"/>
      <c r="F31" s="75"/>
      <c r="G31" s="75"/>
      <c r="H31" s="75"/>
      <c r="I31" s="75"/>
      <c r="J31" s="75"/>
      <c r="K31" s="76"/>
    </row>
  </sheetData>
  <mergeCells count="11">
    <mergeCell ref="A1:K1"/>
    <mergeCell ref="A22:K25"/>
    <mergeCell ref="A9:K9"/>
    <mergeCell ref="A27:K27"/>
    <mergeCell ref="A4:K7"/>
    <mergeCell ref="A10:K13"/>
    <mergeCell ref="A3:K3"/>
    <mergeCell ref="A21:K21"/>
    <mergeCell ref="A15:K15"/>
    <mergeCell ref="A28:K31"/>
    <mergeCell ref="A16:K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 &amp; Scorecard</vt:lpstr>
      <vt:lpstr>01_Financial_Statements</vt:lpstr>
      <vt:lpstr>02_Growth_Profitability</vt:lpstr>
      <vt:lpstr>03_Earnings_Quality</vt:lpstr>
      <vt:lpstr>04_WC_Forensics</vt:lpstr>
      <vt:lpstr>05_Diagnostics</vt:lpstr>
      <vt:lpstr>06_Capital_Efficiency</vt:lpstr>
      <vt:lpstr>07_Research_Report_Memo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Yashraj Verma</cp:lastModifiedBy>
  <dcterms:created xsi:type="dcterms:W3CDTF">2026-09-29T17:05:09Z</dcterms:created>
  <dcterms:modified xsi:type="dcterms:W3CDTF">2026-09-29T17:10:20Z</dcterms:modified>
</cp:coreProperties>
</file>